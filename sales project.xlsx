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712d1d3ff4dee134/Desktop/"/>
    </mc:Choice>
  </mc:AlternateContent>
  <xr:revisionPtr revIDLastSave="0" documentId="8_{7F05D680-027B-4200-A892-A2C8FAE70EDE}" xr6:coauthVersionLast="47" xr6:coauthVersionMax="47" xr10:uidLastSave="{00000000-0000-0000-0000-000000000000}"/>
  <bookViews>
    <workbookView xWindow="-120" yWindow="-120" windowWidth="20730" windowHeight="11760" activeTab="2" xr2:uid="{7FAC07D3-827A-4098-99DA-04D49EB1842A}"/>
  </bookViews>
  <sheets>
    <sheet name="Data" sheetId="1" r:id="rId1"/>
    <sheet name="pivot tables" sheetId="5" r:id="rId2"/>
    <sheet name="Dashboard" sheetId="7"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7" l="1"/>
  <c r="B2" i="7"/>
  <c r="C2" i="7"/>
  <c r="G2" i="1"/>
  <c r="G21" i="1"/>
  <c r="G3" i="1"/>
  <c r="G4" i="1"/>
  <c r="G5" i="1"/>
  <c r="G6" i="1"/>
  <c r="G7" i="1"/>
  <c r="G8" i="1"/>
  <c r="G9" i="1"/>
  <c r="G10" i="1"/>
  <c r="G11" i="1"/>
  <c r="G12" i="1"/>
  <c r="G13" i="1"/>
  <c r="G14" i="1"/>
  <c r="G15" i="1"/>
  <c r="G16" i="1"/>
  <c r="G17" i="1"/>
  <c r="G18" i="1"/>
  <c r="G19" i="1"/>
  <c r="G20"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alcChain>
</file>

<file path=xl/sharedStrings.xml><?xml version="1.0" encoding="utf-8"?>
<sst xmlns="http://schemas.openxmlformats.org/spreadsheetml/2006/main" count="3244" uniqueCount="809">
  <si>
    <t>Date</t>
  </si>
  <si>
    <t>Order ID</t>
  </si>
  <si>
    <t>Product</t>
  </si>
  <si>
    <t>Laptop</t>
  </si>
  <si>
    <t>Mobile</t>
  </si>
  <si>
    <t>Chair</t>
  </si>
  <si>
    <t>Table</t>
  </si>
  <si>
    <t>Shirt</t>
  </si>
  <si>
    <t>Shoes</t>
  </si>
  <si>
    <t>ORD9029</t>
  </si>
  <si>
    <t>ORD5270</t>
  </si>
  <si>
    <t>ORD5944</t>
  </si>
  <si>
    <t>ORD8984</t>
  </si>
  <si>
    <t>ORD6440</t>
  </si>
  <si>
    <t>ORD5685</t>
  </si>
  <si>
    <t>ORD5545</t>
  </si>
  <si>
    <t>ORD3872</t>
  </si>
  <si>
    <t>ORD3293</t>
  </si>
  <si>
    <t>ORD2611</t>
  </si>
  <si>
    <t>ORD1072</t>
  </si>
  <si>
    <t>ORD3251</t>
  </si>
  <si>
    <t>ORD6914</t>
  </si>
  <si>
    <t>ORD9872</t>
  </si>
  <si>
    <t>ORD5163</t>
  </si>
  <si>
    <t>ORD7598</t>
  </si>
  <si>
    <t>ORD2292</t>
  </si>
  <si>
    <t>ORD4998</t>
  </si>
  <si>
    <t>ORD7961</t>
  </si>
  <si>
    <t>ORD6994</t>
  </si>
  <si>
    <t>ORD1674</t>
  </si>
  <si>
    <t>ORD4088</t>
  </si>
  <si>
    <t>ORD5781</t>
  </si>
  <si>
    <t>ORD1099</t>
  </si>
  <si>
    <t>ORD3820</t>
  </si>
  <si>
    <t>ORD4569</t>
  </si>
  <si>
    <t>ORD5127</t>
  </si>
  <si>
    <t>ORD8378</t>
  </si>
  <si>
    <t>ORD7372</t>
  </si>
  <si>
    <t>ORD1220</t>
  </si>
  <si>
    <t>ORD9675</t>
  </si>
  <si>
    <t>ORD8355</t>
  </si>
  <si>
    <t>ORD1644</t>
  </si>
  <si>
    <t>ORD9161</t>
  </si>
  <si>
    <t>ORD5980</t>
  </si>
  <si>
    <t>ORD5562</t>
  </si>
  <si>
    <t>ORD1286</t>
  </si>
  <si>
    <t>ORD8769</t>
  </si>
  <si>
    <t>ORD4548</t>
  </si>
  <si>
    <t>ORD1351</t>
  </si>
  <si>
    <t>ORD9976</t>
  </si>
  <si>
    <t>ORD6776</t>
  </si>
  <si>
    <t>ORD9165</t>
  </si>
  <si>
    <t>ORD6509</t>
  </si>
  <si>
    <t>ORD1190</t>
  </si>
  <si>
    <t>ORD8445</t>
  </si>
  <si>
    <t>ORD3947</t>
  </si>
  <si>
    <t>ORD4678</t>
  </si>
  <si>
    <t>ORD3596</t>
  </si>
  <si>
    <t>ORD5313</t>
  </si>
  <si>
    <t>ORD9183</t>
  </si>
  <si>
    <t>ORD3649</t>
  </si>
  <si>
    <t>ORD8915</t>
  </si>
  <si>
    <t>ORD3169</t>
  </si>
  <si>
    <t>ORD6650</t>
  </si>
  <si>
    <t>ORD9863</t>
  </si>
  <si>
    <t>ORD2449</t>
  </si>
  <si>
    <t>ORD9513</t>
  </si>
  <si>
    <t>ORD1356</t>
  </si>
  <si>
    <t>ORD6664</t>
  </si>
  <si>
    <t>ORD5746</t>
  </si>
  <si>
    <t>ORD8892</t>
  </si>
  <si>
    <t>ORD3698</t>
  </si>
  <si>
    <t>ORD6792</t>
  </si>
  <si>
    <t>ORD8612</t>
  </si>
  <si>
    <t>ORD5487</t>
  </si>
  <si>
    <t>ORD7154</t>
  </si>
  <si>
    <t>ORD9470</t>
  </si>
  <si>
    <t>ORD3858</t>
  </si>
  <si>
    <t>ORD9692</t>
  </si>
  <si>
    <t>ORD3637</t>
  </si>
  <si>
    <t>ORD1097</t>
  </si>
  <si>
    <t>ORD2033</t>
  </si>
  <si>
    <t>ORD7853</t>
  </si>
  <si>
    <t>ORD8412</t>
  </si>
  <si>
    <t>ORD7820</t>
  </si>
  <si>
    <t>ORD6879</t>
  </si>
  <si>
    <t>ORD9108</t>
  </si>
  <si>
    <t>ORD9738</t>
  </si>
  <si>
    <t>ORD1106</t>
  </si>
  <si>
    <t>ORD3039</t>
  </si>
  <si>
    <t>ORD8606</t>
  </si>
  <si>
    <t>ORD6744</t>
  </si>
  <si>
    <t>ORD7819</t>
  </si>
  <si>
    <t>ORD4871</t>
  </si>
  <si>
    <t>ORD7889</t>
  </si>
  <si>
    <t>ORD4849</t>
  </si>
  <si>
    <t>ORD4881</t>
  </si>
  <si>
    <t>ORD9424</t>
  </si>
  <si>
    <t>ORD3091</t>
  </si>
  <si>
    <t>ORD4993</t>
  </si>
  <si>
    <t>ORD5678</t>
  </si>
  <si>
    <t>ORD3241</t>
  </si>
  <si>
    <t>ORD1230</t>
  </si>
  <si>
    <t>ORD8066</t>
  </si>
  <si>
    <t>ORD8940</t>
  </si>
  <si>
    <t>ORD4647</t>
  </si>
  <si>
    <t>ORD9678</t>
  </si>
  <si>
    <t>ORD8281</t>
  </si>
  <si>
    <t>ORD7703</t>
  </si>
  <si>
    <t>ORD9104</t>
  </si>
  <si>
    <t>ORD5557</t>
  </si>
  <si>
    <t>ORD5409</t>
  </si>
  <si>
    <t>ORD3983</t>
  </si>
  <si>
    <t>ORD6571</t>
  </si>
  <si>
    <t>ORD9665</t>
  </si>
  <si>
    <t>ORD8019</t>
  </si>
  <si>
    <t>ORD6950</t>
  </si>
  <si>
    <t>ORD4047</t>
  </si>
  <si>
    <t>ORD6567</t>
  </si>
  <si>
    <t>ORD3075</t>
  </si>
  <si>
    <t>ORD2667</t>
  </si>
  <si>
    <t>ORD2969</t>
  </si>
  <si>
    <t>ORD6480</t>
  </si>
  <si>
    <t>ORD4410</t>
  </si>
  <si>
    <t>ORD8786</t>
  </si>
  <si>
    <t>ORD4663</t>
  </si>
  <si>
    <t>ORD3543</t>
  </si>
  <si>
    <t>ORD7151</t>
  </si>
  <si>
    <t>ORD3116</t>
  </si>
  <si>
    <t>ORD7426</t>
  </si>
  <si>
    <t>ORD7794</t>
  </si>
  <si>
    <t>ORD8255</t>
  </si>
  <si>
    <t>ORD1938</t>
  </si>
  <si>
    <t>ORD4074</t>
  </si>
  <si>
    <t>ORD5597</t>
  </si>
  <si>
    <t>ORD8375</t>
  </si>
  <si>
    <t>ORD6142</t>
  </si>
  <si>
    <t>ORD1482</t>
  </si>
  <si>
    <t>ORD3580</t>
  </si>
  <si>
    <t>ORD2547</t>
  </si>
  <si>
    <t>ORD6973</t>
  </si>
  <si>
    <t>ORD6759</t>
  </si>
  <si>
    <t>ORD3028</t>
  </si>
  <si>
    <t>ORD1957</t>
  </si>
  <si>
    <t>ORD2665</t>
  </si>
  <si>
    <t>ORD5713</t>
  </si>
  <si>
    <t>ORD4748</t>
  </si>
  <si>
    <t>ORD6554</t>
  </si>
  <si>
    <t>ORD6456</t>
  </si>
  <si>
    <t>ORD6902</t>
  </si>
  <si>
    <t>ORD3466</t>
  </si>
  <si>
    <t>ORD6177</t>
  </si>
  <si>
    <t>ORD9303</t>
  </si>
  <si>
    <t>ORD2634</t>
  </si>
  <si>
    <t>ORD8993</t>
  </si>
  <si>
    <t>ORD5173</t>
  </si>
  <si>
    <t>ORD4582</t>
  </si>
  <si>
    <t>ORD6301</t>
  </si>
  <si>
    <t>ORD7233</t>
  </si>
  <si>
    <t>ORD2553</t>
  </si>
  <si>
    <t>ORD7468</t>
  </si>
  <si>
    <t>ORD9404</t>
  </si>
  <si>
    <t>ORD5779</t>
  </si>
  <si>
    <t>ORD2477</t>
  </si>
  <si>
    <t>ORD5401</t>
  </si>
  <si>
    <t>ORD1014</t>
  </si>
  <si>
    <t>ORD4972</t>
  </si>
  <si>
    <t>ORD9037</t>
  </si>
  <si>
    <t>ORD7332</t>
  </si>
  <si>
    <t>ORD3015</t>
  </si>
  <si>
    <t>ORD9890</t>
  </si>
  <si>
    <t>ORD4617</t>
  </si>
  <si>
    <t>ORD6689</t>
  </si>
  <si>
    <t>ORD3938</t>
  </si>
  <si>
    <t>ORD7589</t>
  </si>
  <si>
    <t>ORD8098</t>
  </si>
  <si>
    <t>ORD6031</t>
  </si>
  <si>
    <t>ORD1198</t>
  </si>
  <si>
    <t>ORD7425</t>
  </si>
  <si>
    <t>ORD1747</t>
  </si>
  <si>
    <t>ORD7871</t>
  </si>
  <si>
    <t>ORD4430</t>
  </si>
  <si>
    <t>ORD3201</t>
  </si>
  <si>
    <t>ORD7719</t>
  </si>
  <si>
    <t>ORD9853</t>
  </si>
  <si>
    <t>ORD8168</t>
  </si>
  <si>
    <t>ORD4347</t>
  </si>
  <si>
    <t>ORD1149</t>
  </si>
  <si>
    <t>ORD9733</t>
  </si>
  <si>
    <t>ORD6991</t>
  </si>
  <si>
    <t>ORD1512</t>
  </si>
  <si>
    <t>ORD9801</t>
  </si>
  <si>
    <t>ORD7215</t>
  </si>
  <si>
    <t>ORD1245</t>
  </si>
  <si>
    <t>ORD2462</t>
  </si>
  <si>
    <t>ORD2036</t>
  </si>
  <si>
    <t>ORD1627</t>
  </si>
  <si>
    <t>ORD4387</t>
  </si>
  <si>
    <t>ORD5232</t>
  </si>
  <si>
    <t>ORD6037</t>
  </si>
  <si>
    <t>ORD6599</t>
  </si>
  <si>
    <t>ORD5316</t>
  </si>
  <si>
    <t>ORD2409</t>
  </si>
  <si>
    <t>ORD3174</t>
  </si>
  <si>
    <t>ORD9455</t>
  </si>
  <si>
    <t>ORD2211</t>
  </si>
  <si>
    <t>ORD1792</t>
  </si>
  <si>
    <t>ORD7554</t>
  </si>
  <si>
    <t>ORD8859</t>
  </si>
  <si>
    <t>ORD3929</t>
  </si>
  <si>
    <t>ORD6557</t>
  </si>
  <si>
    <t>ORD1572</t>
  </si>
  <si>
    <t>ORD4826</t>
  </si>
  <si>
    <t>ORD2764</t>
  </si>
  <si>
    <t>ORD2582</t>
  </si>
  <si>
    <t>ORD6066</t>
  </si>
  <si>
    <t>ORD6277</t>
  </si>
  <si>
    <t>ORD9545</t>
  </si>
  <si>
    <t>ORD3018</t>
  </si>
  <si>
    <t>ORD9687</t>
  </si>
  <si>
    <t>ORD3622</t>
  </si>
  <si>
    <t>ORD9744</t>
  </si>
  <si>
    <t>ORD6905</t>
  </si>
  <si>
    <t>ORD8756</t>
  </si>
  <si>
    <t>ORD5576</t>
  </si>
  <si>
    <t>ORD5295</t>
  </si>
  <si>
    <t>ORD6344</t>
  </si>
  <si>
    <t>ORD6012</t>
  </si>
  <si>
    <t>ORD7335</t>
  </si>
  <si>
    <t>ORD8780</t>
  </si>
  <si>
    <t>ORD9264</t>
  </si>
  <si>
    <t>ORD8188</t>
  </si>
  <si>
    <t>ORD7730</t>
  </si>
  <si>
    <t>ORD8968</t>
  </si>
  <si>
    <t>ORD1872</t>
  </si>
  <si>
    <t>ORD9322</t>
  </si>
  <si>
    <t>ORD7423</t>
  </si>
  <si>
    <t>ORD7799</t>
  </si>
  <si>
    <t>ORD8373</t>
  </si>
  <si>
    <t>ORD3417</t>
  </si>
  <si>
    <t>ORD3006</t>
  </si>
  <si>
    <t>ORD6095</t>
  </si>
  <si>
    <t>ORD2169</t>
  </si>
  <si>
    <t>ORD7024</t>
  </si>
  <si>
    <t>ORD1254</t>
  </si>
  <si>
    <t>ORD3558</t>
  </si>
  <si>
    <t>ORD6101</t>
  </si>
  <si>
    <t>ORD8793</t>
  </si>
  <si>
    <t>ORD3262</t>
  </si>
  <si>
    <t>ORD9175</t>
  </si>
  <si>
    <t>ORD6970</t>
  </si>
  <si>
    <t>ORD2875</t>
  </si>
  <si>
    <t>ORD2690</t>
  </si>
  <si>
    <t>ORD7199</t>
  </si>
  <si>
    <t>ORD2416</t>
  </si>
  <si>
    <t>ORD8921</t>
  </si>
  <si>
    <t>ORD2437</t>
  </si>
  <si>
    <t>ORD1053</t>
  </si>
  <si>
    <t>ORD8144</t>
  </si>
  <si>
    <t>ORD4631</t>
  </si>
  <si>
    <t>ORD3191</t>
  </si>
  <si>
    <t>ORD1788</t>
  </si>
  <si>
    <t>ORD6702</t>
  </si>
  <si>
    <t>ORD2561</t>
  </si>
  <si>
    <t>ORD7252</t>
  </si>
  <si>
    <t>ORD5709</t>
  </si>
  <si>
    <t>ORD9992</t>
  </si>
  <si>
    <t>ORD6478</t>
  </si>
  <si>
    <t>ORD3272</t>
  </si>
  <si>
    <t>ORD9220</t>
  </si>
  <si>
    <t>ORD2350</t>
  </si>
  <si>
    <t>ORD7034</t>
  </si>
  <si>
    <t>ORD5410</t>
  </si>
  <si>
    <t>ORD8127</t>
  </si>
  <si>
    <t>ORD7868</t>
  </si>
  <si>
    <t>ORD2916</t>
  </si>
  <si>
    <t>ORD9983</t>
  </si>
  <si>
    <t>ORD1790</t>
  </si>
  <si>
    <t>ORD2286</t>
  </si>
  <si>
    <t>ORD6064</t>
  </si>
  <si>
    <t>ORD6874</t>
  </si>
  <si>
    <t>ORD9379</t>
  </si>
  <si>
    <t>ORD5915</t>
  </si>
  <si>
    <t>ORD4628</t>
  </si>
  <si>
    <t>ORD3111</t>
  </si>
  <si>
    <t>ORD4976</t>
  </si>
  <si>
    <t>ORD5152</t>
  </si>
  <si>
    <t>ORD6765</t>
  </si>
  <si>
    <t>ORD6921</t>
  </si>
  <si>
    <t>ORD7995</t>
  </si>
  <si>
    <t>ORD5333</t>
  </si>
  <si>
    <t>ORD3760</t>
  </si>
  <si>
    <t>ORD2684</t>
  </si>
  <si>
    <t>ORD6579</t>
  </si>
  <si>
    <t>ORD2628</t>
  </si>
  <si>
    <t>ORD8926</t>
  </si>
  <si>
    <t>ORD3901</t>
  </si>
  <si>
    <t>ORD7753</t>
  </si>
  <si>
    <t>ORD8490</t>
  </si>
  <si>
    <t>ORD4112</t>
  </si>
  <si>
    <t>ORD6610</t>
  </si>
  <si>
    <t>ORD3346</t>
  </si>
  <si>
    <t>ORD9283</t>
  </si>
  <si>
    <t>ORD8783</t>
  </si>
  <si>
    <t>ORD3340</t>
  </si>
  <si>
    <t>ORD4810</t>
  </si>
  <si>
    <t>ORD9327</t>
  </si>
  <si>
    <t>ORD2662</t>
  </si>
  <si>
    <t>ORD3956</t>
  </si>
  <si>
    <t>ORD3381</t>
  </si>
  <si>
    <t>ORD3451</t>
  </si>
  <si>
    <t>ORD9338</t>
  </si>
  <si>
    <t>ORD2857</t>
  </si>
  <si>
    <t>ORD6296</t>
  </si>
  <si>
    <t>ORD6960</t>
  </si>
  <si>
    <t>ORD5777</t>
  </si>
  <si>
    <t>ORD1828</t>
  </si>
  <si>
    <t>ORD4756</t>
  </si>
  <si>
    <t>ORD2064</t>
  </si>
  <si>
    <t>ORD8342</t>
  </si>
  <si>
    <t>ORD4798</t>
  </si>
  <si>
    <t>ORD4422</t>
  </si>
  <si>
    <t>ORD9593</t>
  </si>
  <si>
    <t>ORD7610</t>
  </si>
  <si>
    <t>ORD2624</t>
  </si>
  <si>
    <t>ORD1074</t>
  </si>
  <si>
    <t>ORD4187</t>
  </si>
  <si>
    <t>ORD7724</t>
  </si>
  <si>
    <t>ORD5311</t>
  </si>
  <si>
    <t>ORD6737</t>
  </si>
  <si>
    <t>ORD5348</t>
  </si>
  <si>
    <t>ORD5150</t>
  </si>
  <si>
    <t>ORD7207</t>
  </si>
  <si>
    <t>ORD6553</t>
  </si>
  <si>
    <t>ORD6534</t>
  </si>
  <si>
    <t>ORD9940</t>
  </si>
  <si>
    <t>ORD7192</t>
  </si>
  <si>
    <t>ORD6637</t>
  </si>
  <si>
    <t>ORD7147</t>
  </si>
  <si>
    <t>ORD6851</t>
  </si>
  <si>
    <t>ORD3049</t>
  </si>
  <si>
    <t>ORD9732</t>
  </si>
  <si>
    <t>ORD3514</t>
  </si>
  <si>
    <t>ORD1900</t>
  </si>
  <si>
    <t>ORD6116</t>
  </si>
  <si>
    <t>ORD9199</t>
  </si>
  <si>
    <t>ORD6196</t>
  </si>
  <si>
    <t>ORD1268</t>
  </si>
  <si>
    <t>ORD9502</t>
  </si>
  <si>
    <t>ORD5296</t>
  </si>
  <si>
    <t>ORD4719</t>
  </si>
  <si>
    <t>ORD5627</t>
  </si>
  <si>
    <t>ORD2074</t>
  </si>
  <si>
    <t>ORD8740</t>
  </si>
  <si>
    <t>ORD2112</t>
  </si>
  <si>
    <t>ORD7951</t>
  </si>
  <si>
    <t>ORD1924</t>
  </si>
  <si>
    <t>ORD7022</t>
  </si>
  <si>
    <t>ORD2893</t>
  </si>
  <si>
    <t>ORD2413</t>
  </si>
  <si>
    <t>ORD9125</t>
  </si>
  <si>
    <t>ORD1612</t>
  </si>
  <si>
    <t>ORD6249</t>
  </si>
  <si>
    <t>ORD2562</t>
  </si>
  <si>
    <t>ORD7401</t>
  </si>
  <si>
    <t>ORD2231</t>
  </si>
  <si>
    <t>ORD1677</t>
  </si>
  <si>
    <t>ORD6667</t>
  </si>
  <si>
    <t>ORD2050</t>
  </si>
  <si>
    <t>ORD6305</t>
  </si>
  <si>
    <t>ORD4755</t>
  </si>
  <si>
    <t>ORD3582</t>
  </si>
  <si>
    <t>ORD1283</t>
  </si>
  <si>
    <t>ORD2164</t>
  </si>
  <si>
    <t>ORD1555</t>
  </si>
  <si>
    <t>ORD2393</t>
  </si>
  <si>
    <t>ORD7590</t>
  </si>
  <si>
    <t>ORD1740</t>
  </si>
  <si>
    <t>ORD8041</t>
  </si>
  <si>
    <t>ORD2442</t>
  </si>
  <si>
    <t>ORD3186</t>
  </si>
  <si>
    <t>ORD6335</t>
  </si>
  <si>
    <t>ORD7466</t>
  </si>
  <si>
    <t>ORD6779</t>
  </si>
  <si>
    <t>ORD4648</t>
  </si>
  <si>
    <t>ORD2838</t>
  </si>
  <si>
    <t>ORD1170</t>
  </si>
  <si>
    <t>ORD5520</t>
  </si>
  <si>
    <t>ORD3390</t>
  </si>
  <si>
    <t>ORD2429</t>
  </si>
  <si>
    <t>ORD7683</t>
  </si>
  <si>
    <t>ORD9293</t>
  </si>
  <si>
    <t>ORD7371</t>
  </si>
  <si>
    <t>ORD2235</t>
  </si>
  <si>
    <t>ORD1546</t>
  </si>
  <si>
    <t>ORD7878</t>
  </si>
  <si>
    <t>ORD1873</t>
  </si>
  <si>
    <t>ORD2198</t>
  </si>
  <si>
    <t>ORD1324</t>
  </si>
  <si>
    <t>ORD2507</t>
  </si>
  <si>
    <t>ORD7007</t>
  </si>
  <si>
    <t>ORD3448</t>
  </si>
  <si>
    <t>ORD6243</t>
  </si>
  <si>
    <t>ORD5039</t>
  </si>
  <si>
    <t>ORD2855</t>
  </si>
  <si>
    <t>ORD5368</t>
  </si>
  <si>
    <t>ORD1145</t>
  </si>
  <si>
    <t>ORD1258</t>
  </si>
  <si>
    <t>ORD1038</t>
  </si>
  <si>
    <t>ORD4289</t>
  </si>
  <si>
    <t>ORD8132</t>
  </si>
  <si>
    <t>ORD5346</t>
  </si>
  <si>
    <t>ORD8021</t>
  </si>
  <si>
    <t>ORD6663</t>
  </si>
  <si>
    <t>ORD4441</t>
  </si>
  <si>
    <t>ORD9021</t>
  </si>
  <si>
    <t>ORD1051</t>
  </si>
  <si>
    <t>ORD9693</t>
  </si>
  <si>
    <t>ORD5275</t>
  </si>
  <si>
    <t>ORD8314</t>
  </si>
  <si>
    <t>ORD6626</t>
  </si>
  <si>
    <t>ORD6856</t>
  </si>
  <si>
    <t>ORD9319</t>
  </si>
  <si>
    <t>ORD2575</t>
  </si>
  <si>
    <t>ORD9867</t>
  </si>
  <si>
    <t>ORD8854</t>
  </si>
  <si>
    <t>ORD7112</t>
  </si>
  <si>
    <t>ORD3570</t>
  </si>
  <si>
    <t>ORD9811</t>
  </si>
  <si>
    <t>ORD5460</t>
  </si>
  <si>
    <t>ORD8851</t>
  </si>
  <si>
    <t>ORD2945</t>
  </si>
  <si>
    <t>ORD7766</t>
  </si>
  <si>
    <t>ORD7648</t>
  </si>
  <si>
    <t>ORD8684</t>
  </si>
  <si>
    <t>ORD6231</t>
  </si>
  <si>
    <t>ORD1042</t>
  </si>
  <si>
    <t>ORD9557</t>
  </si>
  <si>
    <t>ORD5302</t>
  </si>
  <si>
    <t>ORD6983</t>
  </si>
  <si>
    <t>ORD7888</t>
  </si>
  <si>
    <t>ORD2037</t>
  </si>
  <si>
    <t>ORD9447</t>
  </si>
  <si>
    <t>ORD6964</t>
  </si>
  <si>
    <t>ORD1702</t>
  </si>
  <si>
    <t>ORD8051</t>
  </si>
  <si>
    <t>ORD2629</t>
  </si>
  <si>
    <t>ORD6936</t>
  </si>
  <si>
    <t>ORD4689</t>
  </si>
  <si>
    <t>ORD2126</t>
  </si>
  <si>
    <t>ORD3081</t>
  </si>
  <si>
    <t>ORD6966</t>
  </si>
  <si>
    <t>ORD8624</t>
  </si>
  <si>
    <t>ORD7297</t>
  </si>
  <si>
    <t>ORD1188</t>
  </si>
  <si>
    <t>ORD4156</t>
  </si>
  <si>
    <t>ORD2564</t>
  </si>
  <si>
    <t>ORD1937</t>
  </si>
  <si>
    <t>ORD7044</t>
  </si>
  <si>
    <t>ORD8115</t>
  </si>
  <si>
    <t>ORD6097</t>
  </si>
  <si>
    <t>ORD8248</t>
  </si>
  <si>
    <t>ORD3696</t>
  </si>
  <si>
    <t>ORD5726</t>
  </si>
  <si>
    <t>ORD9106</t>
  </si>
  <si>
    <t>ORD3666</t>
  </si>
  <si>
    <t>ORD2603</t>
  </si>
  <si>
    <t>ORD7195</t>
  </si>
  <si>
    <t>ORD8169</t>
  </si>
  <si>
    <t>ORD4533</t>
  </si>
  <si>
    <t>ORD2902</t>
  </si>
  <si>
    <t>ORD3379</t>
  </si>
  <si>
    <t>ORD4927</t>
  </si>
  <si>
    <t>ORD8225</t>
  </si>
  <si>
    <t>ORD4345</t>
  </si>
  <si>
    <t>ORD8650</t>
  </si>
  <si>
    <t>ORD5068</t>
  </si>
  <si>
    <t>ORD2858</t>
  </si>
  <si>
    <t>ORD5502</t>
  </si>
  <si>
    <t>ORD4335</t>
  </si>
  <si>
    <t>ORD4379</t>
  </si>
  <si>
    <t>ORD4677</t>
  </si>
  <si>
    <t>ORD6549</t>
  </si>
  <si>
    <t>ORD3285</t>
  </si>
  <si>
    <t>ORD9929</t>
  </si>
  <si>
    <t>ORD5421</t>
  </si>
  <si>
    <t>ORD5516</t>
  </si>
  <si>
    <t>ORD7587</t>
  </si>
  <si>
    <t>ORD2051</t>
  </si>
  <si>
    <t>ORD8615</t>
  </si>
  <si>
    <t>ORD3054</t>
  </si>
  <si>
    <t>ORD2158</t>
  </si>
  <si>
    <t>ORD8730</t>
  </si>
  <si>
    <t>ORD6734</t>
  </si>
  <si>
    <t>ORD1044</t>
  </si>
  <si>
    <t>ORD1348</t>
  </si>
  <si>
    <t>ORD2621</t>
  </si>
  <si>
    <t>ORD8163</t>
  </si>
  <si>
    <t>ORD8089</t>
  </si>
  <si>
    <t>ORD1212</t>
  </si>
  <si>
    <t>ORD2573</t>
  </si>
  <si>
    <t>ORD3385</t>
  </si>
  <si>
    <t>ORD7717</t>
  </si>
  <si>
    <t>ORD7817</t>
  </si>
  <si>
    <t>ORD9945</t>
  </si>
  <si>
    <t>ORD7469</t>
  </si>
  <si>
    <t>ORD2558</t>
  </si>
  <si>
    <t>ORD7005</t>
  </si>
  <si>
    <t>ORD1313</t>
  </si>
  <si>
    <t>ORD7051</t>
  </si>
  <si>
    <t>ORD8728</t>
  </si>
  <si>
    <t>ORD5098</t>
  </si>
  <si>
    <t>ORD7545</t>
  </si>
  <si>
    <t>ORD2837</t>
  </si>
  <si>
    <t>ORD5607</t>
  </si>
  <si>
    <t>ORD2173</t>
  </si>
  <si>
    <t>ORD4688</t>
  </si>
  <si>
    <t>ORD6216</t>
  </si>
  <si>
    <t>ORD1260</t>
  </si>
  <si>
    <t>ORD7901</t>
  </si>
  <si>
    <t>ORD8339</t>
  </si>
  <si>
    <t>ORD9026</t>
  </si>
  <si>
    <t>ORD4087</t>
  </si>
  <si>
    <t>ORD7579</t>
  </si>
  <si>
    <t>ORD8687</t>
  </si>
  <si>
    <t>ORD2653</t>
  </si>
  <si>
    <t>ORD2007</t>
  </si>
  <si>
    <t>ORD6606</t>
  </si>
  <si>
    <t>ORD9915</t>
  </si>
  <si>
    <t>ORD5579</t>
  </si>
  <si>
    <t>ORD3960</t>
  </si>
  <si>
    <t>ORD5623</t>
  </si>
  <si>
    <t>ORD2054</t>
  </si>
  <si>
    <t>ORD4380</t>
  </si>
  <si>
    <t>ORD9492</t>
  </si>
  <si>
    <t>ORD7055</t>
  </si>
  <si>
    <t>ORD5297</t>
  </si>
  <si>
    <t>ORD2859</t>
  </si>
  <si>
    <t>ORD3651</t>
  </si>
  <si>
    <t>ORD2592</t>
  </si>
  <si>
    <t>ORD2851</t>
  </si>
  <si>
    <t>ORD9968</t>
  </si>
  <si>
    <t>ORD4567</t>
  </si>
  <si>
    <t>ORD6790</t>
  </si>
  <si>
    <t>ORD1882</t>
  </si>
  <si>
    <t>ORD9352</t>
  </si>
  <si>
    <t>ORD5161</t>
  </si>
  <si>
    <t>ORD9913</t>
  </si>
  <si>
    <t>ORD1449</t>
  </si>
  <si>
    <t>ORD7053</t>
  </si>
  <si>
    <t>ORD5269</t>
  </si>
  <si>
    <t>ORD3851</t>
  </si>
  <si>
    <t>ORD1587</t>
  </si>
  <si>
    <t>ORD4177</t>
  </si>
  <si>
    <t>ORD3840</t>
  </si>
  <si>
    <t>ORD8950</t>
  </si>
  <si>
    <t>ORD6489</t>
  </si>
  <si>
    <t>ORD9070</t>
  </si>
  <si>
    <t>ORD5439</t>
  </si>
  <si>
    <t>ORD9269</t>
  </si>
  <si>
    <t>ORD4884</t>
  </si>
  <si>
    <t>ORD7925</t>
  </si>
  <si>
    <t>ORD2343</t>
  </si>
  <si>
    <t>ORD1763</t>
  </si>
  <si>
    <t>ORD6612</t>
  </si>
  <si>
    <t>ORD4477</t>
  </si>
  <si>
    <t>ORD5155</t>
  </si>
  <si>
    <t>ORD1658</t>
  </si>
  <si>
    <t>ORD5518</t>
  </si>
  <si>
    <t>ORD8849</t>
  </si>
  <si>
    <t>ORD6967</t>
  </si>
  <si>
    <t>ORD3518</t>
  </si>
  <si>
    <t>ORD5522</t>
  </si>
  <si>
    <t>ORD5093</t>
  </si>
  <si>
    <t>ORD6133</t>
  </si>
  <si>
    <t>ORD8568</t>
  </si>
  <si>
    <t>ORD7604</t>
  </si>
  <si>
    <t>ORD4710</t>
  </si>
  <si>
    <t>ORD2143</t>
  </si>
  <si>
    <t>ORD9061</t>
  </si>
  <si>
    <t>ORD3745</t>
  </si>
  <si>
    <t>ORD5624</t>
  </si>
  <si>
    <t>ORD4065</t>
  </si>
  <si>
    <t>ORD1883</t>
  </si>
  <si>
    <t>ORD3426</t>
  </si>
  <si>
    <t>ORD8164</t>
  </si>
  <si>
    <t>ORD6394</t>
  </si>
  <si>
    <t>ORD7269</t>
  </si>
  <si>
    <t>ORD5337</t>
  </si>
  <si>
    <t>ORD5319</t>
  </si>
  <si>
    <t>ORD7386</t>
  </si>
  <si>
    <t>ORD5581</t>
  </si>
  <si>
    <t>ORD9010</t>
  </si>
  <si>
    <t>ORD5149</t>
  </si>
  <si>
    <t>ORD5907</t>
  </si>
  <si>
    <t>ORD8842</t>
  </si>
  <si>
    <t>ORD8735</t>
  </si>
  <si>
    <t>ORD8690</t>
  </si>
  <si>
    <t>ORD9917</t>
  </si>
  <si>
    <t>ORD4476</t>
  </si>
  <si>
    <t>ORD8629</t>
  </si>
  <si>
    <t>ORD8861</t>
  </si>
  <si>
    <t>ORD6533</t>
  </si>
  <si>
    <t>ORD8070</t>
  </si>
  <si>
    <t>ORD2259</t>
  </si>
  <si>
    <t>ORD6547</t>
  </si>
  <si>
    <t>ORD3826</t>
  </si>
  <si>
    <t>ORD2750</t>
  </si>
  <si>
    <t>ORD7218</t>
  </si>
  <si>
    <t>ORD3513</t>
  </si>
  <si>
    <t>ORD4425</t>
  </si>
  <si>
    <t>ORD6514</t>
  </si>
  <si>
    <t>ORD6001</t>
  </si>
  <si>
    <t>ORD4856</t>
  </si>
  <si>
    <t>ORD5293</t>
  </si>
  <si>
    <t>ORD5003</t>
  </si>
  <si>
    <t>ORD6585</t>
  </si>
  <si>
    <t>ORD7028</t>
  </si>
  <si>
    <t>ORD2400</t>
  </si>
  <si>
    <t>ORD5621</t>
  </si>
  <si>
    <t>ORD7631</t>
  </si>
  <si>
    <t>ORD9511</t>
  </si>
  <si>
    <t>ORD7106</t>
  </si>
  <si>
    <t>ORD9249</t>
  </si>
  <si>
    <t>ORD5986</t>
  </si>
  <si>
    <t>ORD8801</t>
  </si>
  <si>
    <t>ORD1436</t>
  </si>
  <si>
    <t>ORD8718</t>
  </si>
  <si>
    <t>ORD6823</t>
  </si>
  <si>
    <t>ORD2913</t>
  </si>
  <si>
    <t>ORD1853</t>
  </si>
  <si>
    <t>ORD5117</t>
  </si>
  <si>
    <t>ORD6316</t>
  </si>
  <si>
    <t>ORD5684</t>
  </si>
  <si>
    <t>ORD1207</t>
  </si>
  <si>
    <t>ORD5737</t>
  </si>
  <si>
    <t>ORD7352</t>
  </si>
  <si>
    <t>ORD7739</t>
  </si>
  <si>
    <t>ORD7353</t>
  </si>
  <si>
    <t>ORD5536</t>
  </si>
  <si>
    <t>ORD2436</t>
  </si>
  <si>
    <t>ORD6858</t>
  </si>
  <si>
    <t>ORD9564</t>
  </si>
  <si>
    <t>ORD6194</t>
  </si>
  <si>
    <t>ORD3526</t>
  </si>
  <si>
    <t>ORD9826</t>
  </si>
  <si>
    <t>ORD7520</t>
  </si>
  <si>
    <t>ORD5420</t>
  </si>
  <si>
    <t>ORD6488</t>
  </si>
  <si>
    <t>ORD8752</t>
  </si>
  <si>
    <t>ORD9700</t>
  </si>
  <si>
    <t>ORD1615</t>
  </si>
  <si>
    <t>ORD2300</t>
  </si>
  <si>
    <t>ORD7669</t>
  </si>
  <si>
    <t>ORD4724</t>
  </si>
  <si>
    <t>ORD2389</t>
  </si>
  <si>
    <t>ORD3355</t>
  </si>
  <si>
    <t>ORD8076</t>
  </si>
  <si>
    <t>ORD3213</t>
  </si>
  <si>
    <t>ORD9170</t>
  </si>
  <si>
    <t>ORD6758</t>
  </si>
  <si>
    <t>ORD5542</t>
  </si>
  <si>
    <t>ORD4385</t>
  </si>
  <si>
    <t>ORD2483</t>
  </si>
  <si>
    <t>ORD9180</t>
  </si>
  <si>
    <t>ORD4192</t>
  </si>
  <si>
    <t>ORD9134</t>
  </si>
  <si>
    <t>ORD6206</t>
  </si>
  <si>
    <t>ORD4909</t>
  </si>
  <si>
    <t>ORD5978</t>
  </si>
  <si>
    <t>ORD5188</t>
  </si>
  <si>
    <t>ORD3449</t>
  </si>
  <si>
    <t>ORD5993</t>
  </si>
  <si>
    <t>ORD2872</t>
  </si>
  <si>
    <t>ORD7834</t>
  </si>
  <si>
    <t>ORD6318</t>
  </si>
  <si>
    <t>ORD5875</t>
  </si>
  <si>
    <t>ORD5857</t>
  </si>
  <si>
    <t>ORD9057</t>
  </si>
  <si>
    <t>ORD1676</t>
  </si>
  <si>
    <t>ORD3086</t>
  </si>
  <si>
    <t>ORD4459</t>
  </si>
  <si>
    <t>ORD4015</t>
  </si>
  <si>
    <t>ORD3873</t>
  </si>
  <si>
    <t>ORD5614</t>
  </si>
  <si>
    <t>ORD7203</t>
  </si>
  <si>
    <t>ORD9133</t>
  </si>
  <si>
    <t>ORD7168</t>
  </si>
  <si>
    <t>ORD5570</t>
  </si>
  <si>
    <t>ORD9263</t>
  </si>
  <si>
    <t>ORD6855</t>
  </si>
  <si>
    <t>ORD7004</t>
  </si>
  <si>
    <t>ORD2241</t>
  </si>
  <si>
    <t>ORD5930</t>
  </si>
  <si>
    <t>ORD9237</t>
  </si>
  <si>
    <t>ORD3254</t>
  </si>
  <si>
    <t>ORD1374</t>
  </si>
  <si>
    <t>ORD5413</t>
  </si>
  <si>
    <t>ORD9572</t>
  </si>
  <si>
    <t>ORD8459</t>
  </si>
  <si>
    <t>ORD7965</t>
  </si>
  <si>
    <t>ORD4009</t>
  </si>
  <si>
    <t>ORD9659</t>
  </si>
  <si>
    <t>ORD7021</t>
  </si>
  <si>
    <t>ORD9333</t>
  </si>
  <si>
    <t>ORD9816</t>
  </si>
  <si>
    <t>ORD1550</t>
  </si>
  <si>
    <t>ORD9410</t>
  </si>
  <si>
    <t>ORD1347</t>
  </si>
  <si>
    <t>ORD1462</t>
  </si>
  <si>
    <t>ORD8613</t>
  </si>
  <si>
    <t>ORD9490</t>
  </si>
  <si>
    <t>ORD9245</t>
  </si>
  <si>
    <t>ORD2669</t>
  </si>
  <si>
    <t>ORD5767</t>
  </si>
  <si>
    <t>ORD2024</t>
  </si>
  <si>
    <t>ORD9154</t>
  </si>
  <si>
    <t>ORD8196</t>
  </si>
  <si>
    <t>ORD9754</t>
  </si>
  <si>
    <t>ORD6613</t>
  </si>
  <si>
    <t>ORD2890</t>
  </si>
  <si>
    <t>ORD6522</t>
  </si>
  <si>
    <t>ORD3358</t>
  </si>
  <si>
    <t>ORD9272</t>
  </si>
  <si>
    <t>ORD6210</t>
  </si>
  <si>
    <t>ORD1761</t>
  </si>
  <si>
    <t>ORD7070</t>
  </si>
  <si>
    <t>ORD8453</t>
  </si>
  <si>
    <t>ORD9596</t>
  </si>
  <si>
    <t>ORD4811</t>
  </si>
  <si>
    <t>ORD9861</t>
  </si>
  <si>
    <t>ORD9428</t>
  </si>
  <si>
    <t>ORD7702</t>
  </si>
  <si>
    <t>ORD4518</t>
  </si>
  <si>
    <t>ORD7494</t>
  </si>
  <si>
    <t>ORD6716</t>
  </si>
  <si>
    <t>ORD3115</t>
  </si>
  <si>
    <t>ORD8645</t>
  </si>
  <si>
    <t>ORD3880</t>
  </si>
  <si>
    <t>ORD6499</t>
  </si>
  <si>
    <t>ORD8567</t>
  </si>
  <si>
    <t>ORD3327</t>
  </si>
  <si>
    <t>ORD7140</t>
  </si>
  <si>
    <t>ORD5822</t>
  </si>
  <si>
    <t>ORD3151</t>
  </si>
  <si>
    <t>ORD3199</t>
  </si>
  <si>
    <t>ORD3607</t>
  </si>
  <si>
    <t>ORD8429</t>
  </si>
  <si>
    <t>ORD6331</t>
  </si>
  <si>
    <t>ORD9975</t>
  </si>
  <si>
    <t>ORD8093</t>
  </si>
  <si>
    <t>ORD4754</t>
  </si>
  <si>
    <t>ORD5928</t>
  </si>
  <si>
    <t>ORD9163</t>
  </si>
  <si>
    <t>ORD2067</t>
  </si>
  <si>
    <t>ORD3538</t>
  </si>
  <si>
    <t>ORD9936</t>
  </si>
  <si>
    <t>ORD9531</t>
  </si>
  <si>
    <t>ORD2471</t>
  </si>
  <si>
    <t>ORD9473</t>
  </si>
  <si>
    <t>ORD6132</t>
  </si>
  <si>
    <t>ORD7594</t>
  </si>
  <si>
    <t>ORD7357</t>
  </si>
  <si>
    <t>ORD2766</t>
  </si>
  <si>
    <t>ORD4817</t>
  </si>
  <si>
    <t>ORD6088</t>
  </si>
  <si>
    <t>ORD6913</t>
  </si>
  <si>
    <t>ORD2770</t>
  </si>
  <si>
    <t>ORD7668</t>
  </si>
  <si>
    <t>ORD1562</t>
  </si>
  <si>
    <t>ORD7307</t>
  </si>
  <si>
    <t>ORD1241</t>
  </si>
  <si>
    <t>ORD7970</t>
  </si>
  <si>
    <t>ORD1590</t>
  </si>
  <si>
    <t>ORD6129</t>
  </si>
  <si>
    <t>ORD7433</t>
  </si>
  <si>
    <t>ORD2515</t>
  </si>
  <si>
    <t>Region</t>
  </si>
  <si>
    <t>North</t>
  </si>
  <si>
    <t>South</t>
  </si>
  <si>
    <t>East</t>
  </si>
  <si>
    <t>West</t>
  </si>
  <si>
    <t>Sales</t>
  </si>
  <si>
    <t>Profit</t>
  </si>
  <si>
    <t>Quantity</t>
  </si>
  <si>
    <t>Category</t>
  </si>
  <si>
    <t>Electronics</t>
  </si>
  <si>
    <t>Furniture</t>
  </si>
  <si>
    <t>Clothing</t>
  </si>
  <si>
    <t>Row Labels</t>
  </si>
  <si>
    <t>Grand Total</t>
  </si>
  <si>
    <t>Sum of Sales</t>
  </si>
  <si>
    <t>Jan</t>
  </si>
  <si>
    <t>Feb</t>
  </si>
  <si>
    <t>Mar</t>
  </si>
  <si>
    <t>Apr</t>
  </si>
  <si>
    <t>May</t>
  </si>
  <si>
    <t>Jun</t>
  </si>
  <si>
    <t>Jul</t>
  </si>
  <si>
    <t>Aug</t>
  </si>
  <si>
    <t>Sep</t>
  </si>
  <si>
    <t>Oct</t>
  </si>
  <si>
    <t>Nov</t>
  </si>
  <si>
    <t>Dec</t>
  </si>
  <si>
    <t xml:space="preserve"> Sales</t>
  </si>
  <si>
    <t xml:space="preserve"> Profit</t>
  </si>
  <si>
    <t>Total Sales</t>
  </si>
  <si>
    <t>Total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</si>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</sst>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22"/>
      <color theme="4"/>
      <name val="Arial Rounded MT Bold"/>
      <family val="2"/>
    </font>
    <font>
      <b/>
      <sz val="22"/>
      <color theme="3"/>
      <name val="Calibri"/>
      <family val="2"/>
      <scheme val="minor"/>
    </font>
    <font>
      <sz val="22"/>
      <color theme="3"/>
      <name val="Calibri"/>
      <family val="2"/>
      <scheme val="minor"/>
    </font>
    <font>
      <sz val="11"/>
      <color theme="3"/>
      <name val="Calibri"/>
      <family val="2"/>
      <scheme val="minor"/>
    </font>
    <font>
      <sz val="36"/>
      <color theme="3"/>
      <name val="Calibri"/>
      <family val="2"/>
      <scheme val="minor"/>
    </font>
    <font>
      <b/>
      <sz val="20"/>
      <color theme="3"/>
      <name val="Arial Rounded MT Bold"/>
      <family val="2"/>
    </font>
    <font>
      <b/>
      <sz val="20"/>
      <color theme="4"/>
      <name val="Arial Rounded MT Bold"/>
      <family val="2"/>
    </font>
    <font>
      <b/>
      <sz val="20"/>
      <color theme="5"/>
      <name val="Arial Rounded MT Bold"/>
      <family val="2"/>
    </font>
    <font>
      <sz val="11"/>
      <color theme="4"/>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7" fillId="2" borderId="0" xfId="0" applyFont="1" applyFill="1" applyAlignment="1">
      <alignment vertical="center"/>
    </xf>
    <xf numFmtId="0" fontId="9" fillId="2" borderId="0" xfId="0" applyFont="1" applyFill="1"/>
    <xf numFmtId="0" fontId="8" fillId="2" borderId="0" xfId="0" applyFont="1" applyFill="1" applyAlignment="1">
      <alignment vertical="center"/>
    </xf>
    <xf numFmtId="0" fontId="4" fillId="2" borderId="0" xfId="0" applyFont="1" applyFill="1"/>
    <xf numFmtId="0" fontId="6" fillId="2" borderId="0" xfId="0" applyFont="1" applyFill="1"/>
    <xf numFmtId="0" fontId="1" fillId="2" borderId="0" xfId="0" applyFont="1" applyFill="1"/>
    <xf numFmtId="0" fontId="2" fillId="2" borderId="0" xfId="0" applyFont="1" applyFill="1"/>
    <xf numFmtId="0" fontId="3" fillId="2" borderId="0" xfId="0" applyFont="1" applyFill="1"/>
    <xf numFmtId="0" fontId="7" fillId="2" borderId="0" xfId="0" applyFont="1" applyFill="1" applyAlignment="1">
      <alignment horizontal="left" vertical="top"/>
    </xf>
    <xf numFmtId="0" fontId="7" fillId="2" borderId="0" xfId="0" applyFont="1" applyFill="1" applyAlignment="1">
      <alignment horizontal="center"/>
    </xf>
    <xf numFmtId="0" fontId="7" fillId="2" borderId="0" xfId="0" applyFont="1" applyFill="1" applyAlignment="1">
      <alignment horizontal="center" vertical="center"/>
    </xf>
    <xf numFmtId="0" fontId="5" fillId="2" borderId="0" xfId="0" applyFont="1" applyFill="1"/>
    <xf numFmtId="0" fontId="4" fillId="2" borderId="0" xfId="0" applyFont="1" applyFill="1" applyAlignment="1">
      <alignment wrapText="1"/>
    </xf>
  </cellXfs>
  <cellStyles count="1">
    <cellStyle name="Normal" xfId="0" builtinId="0"/>
  </cellStyles>
  <dxfs count="2">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tables!PivotTable6</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5852565183023"/>
          <c:y val="0.19052778222547359"/>
          <c:w val="0.85995358815625644"/>
          <c:h val="0.63979225052661248"/>
        </c:manualLayout>
      </c:layout>
      <c:lineChart>
        <c:grouping val="stacked"/>
        <c:varyColors val="0"/>
        <c:ser>
          <c:idx val="0"/>
          <c:order val="0"/>
          <c:tx>
            <c:strRef>
              <c:f>'pivot tables'!$E$3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tables'!$E$4:$E$16</c:f>
              <c:numCache>
                <c:formatCode>General</c:formatCode>
                <c:ptCount val="12"/>
                <c:pt idx="0">
                  <c:v>2626738</c:v>
                </c:pt>
                <c:pt idx="1">
                  <c:v>2458324</c:v>
                </c:pt>
                <c:pt idx="2">
                  <c:v>2230518</c:v>
                </c:pt>
                <c:pt idx="3">
                  <c:v>2589702</c:v>
                </c:pt>
                <c:pt idx="4">
                  <c:v>2560013</c:v>
                </c:pt>
                <c:pt idx="5">
                  <c:v>2702466</c:v>
                </c:pt>
                <c:pt idx="6">
                  <c:v>2545359</c:v>
                </c:pt>
                <c:pt idx="7">
                  <c:v>3176363</c:v>
                </c:pt>
                <c:pt idx="8">
                  <c:v>2945165</c:v>
                </c:pt>
                <c:pt idx="9">
                  <c:v>2300256</c:v>
                </c:pt>
                <c:pt idx="10">
                  <c:v>2614073</c:v>
                </c:pt>
                <c:pt idx="11">
                  <c:v>2633353</c:v>
                </c:pt>
              </c:numCache>
            </c:numRef>
          </c:val>
          <c:smooth val="1"/>
          <c:extLst>
            <c:ext xmlns:c16="http://schemas.microsoft.com/office/drawing/2014/chart" uri="{C3380CC4-5D6E-409C-BE32-E72D297353CC}">
              <c16:uniqueId val="{00000000-5085-4342-8AA1-B622FD5C5A25}"/>
            </c:ext>
          </c:extLst>
        </c:ser>
        <c:dLbls>
          <c:dLblPos val="ctr"/>
          <c:showLegendKey val="0"/>
          <c:showVal val="1"/>
          <c:showCatName val="0"/>
          <c:showSerName val="0"/>
          <c:showPercent val="0"/>
          <c:showBubbleSize val="0"/>
        </c:dLbls>
        <c:marker val="1"/>
        <c:smooth val="0"/>
        <c:axId val="1442406367"/>
        <c:axId val="1441923791"/>
      </c:lineChart>
      <c:catAx>
        <c:axId val="144240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23791"/>
        <c:crosses val="autoZero"/>
        <c:auto val="1"/>
        <c:lblAlgn val="ctr"/>
        <c:lblOffset val="100"/>
        <c:noMultiLvlLbl val="0"/>
      </c:catAx>
      <c:valAx>
        <c:axId val="144192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063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tables!PivotTable3</c:name>
    <c:fmtId val="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41944757531848"/>
          <c:y val="8.6566100290095316E-2"/>
          <c:w val="0.72373949365278756"/>
          <c:h val="0.75401857783770965"/>
        </c:manualLayout>
      </c:layout>
      <c:barChart>
        <c:barDir val="bar"/>
        <c:grouping val="clustered"/>
        <c:varyColors val="0"/>
        <c:ser>
          <c:idx val="0"/>
          <c:order val="0"/>
          <c:tx>
            <c:strRef>
              <c:f>'pivot tables'!$B$3</c:f>
              <c:strCache>
                <c:ptCount val="1"/>
                <c:pt idx="0">
                  <c:v>Total</c:v>
                </c:pt>
              </c:strCache>
            </c:strRef>
          </c:tx>
          <c:spPr>
            <a:solidFill>
              <a:schemeClr val="accent6"/>
            </a:solidFill>
            <a:ln>
              <a:noFill/>
            </a:ln>
            <a:effectLst/>
          </c:spPr>
          <c:invertIfNegative val="0"/>
          <c:cat>
            <c:strRef>
              <c:f>'pivot tables'!$A$4:$A$8</c:f>
              <c:strCache>
                <c:ptCount val="4"/>
                <c:pt idx="0">
                  <c:v>East</c:v>
                </c:pt>
                <c:pt idx="1">
                  <c:v>North</c:v>
                </c:pt>
                <c:pt idx="2">
                  <c:v>South</c:v>
                </c:pt>
                <c:pt idx="3">
                  <c:v>West</c:v>
                </c:pt>
              </c:strCache>
            </c:strRef>
          </c:cat>
          <c:val>
            <c:numRef>
              <c:f>'pivot tables'!$B$4:$B$8</c:f>
              <c:numCache>
                <c:formatCode>General</c:formatCode>
                <c:ptCount val="4"/>
                <c:pt idx="0">
                  <c:v>7617690</c:v>
                </c:pt>
                <c:pt idx="1">
                  <c:v>8411050</c:v>
                </c:pt>
                <c:pt idx="2">
                  <c:v>7543677</c:v>
                </c:pt>
                <c:pt idx="3">
                  <c:v>7809913</c:v>
                </c:pt>
              </c:numCache>
            </c:numRef>
          </c:val>
          <c:extLst>
            <c:ext xmlns:c16="http://schemas.microsoft.com/office/drawing/2014/chart" uri="{C3380CC4-5D6E-409C-BE32-E72D297353CC}">
              <c16:uniqueId val="{00000000-4FEF-47E9-A434-0EAC4483C72B}"/>
            </c:ext>
          </c:extLst>
        </c:ser>
        <c:dLbls>
          <c:showLegendKey val="0"/>
          <c:showVal val="0"/>
          <c:showCatName val="0"/>
          <c:showSerName val="0"/>
          <c:showPercent val="0"/>
          <c:showBubbleSize val="0"/>
        </c:dLbls>
        <c:gapWidth val="182"/>
        <c:axId val="1506196879"/>
        <c:axId val="1506186319"/>
      </c:barChart>
      <c:catAx>
        <c:axId val="150619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186319"/>
        <c:crosses val="autoZero"/>
        <c:auto val="1"/>
        <c:lblAlgn val="ctr"/>
        <c:lblOffset val="100"/>
        <c:noMultiLvlLbl val="0"/>
      </c:catAx>
      <c:valAx>
        <c:axId val="1506186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19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tables!PivotTable9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46969941065804"/>
          <c:y val="7.8116633649243192E-2"/>
          <c:w val="0.81773994805593997"/>
          <c:h val="0.6583393921458629"/>
        </c:manualLayout>
      </c:layout>
      <c:barChart>
        <c:barDir val="col"/>
        <c:grouping val="clustered"/>
        <c:varyColors val="0"/>
        <c:ser>
          <c:idx val="0"/>
          <c:order val="0"/>
          <c:tx>
            <c:strRef>
              <c:f>'pivot tables'!$H$3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tables'!$G$4:$G$10</c:f>
              <c:strCache>
                <c:ptCount val="6"/>
                <c:pt idx="0">
                  <c:v>Chair</c:v>
                </c:pt>
                <c:pt idx="1">
                  <c:v>Laptop</c:v>
                </c:pt>
                <c:pt idx="2">
                  <c:v>Mobile</c:v>
                </c:pt>
                <c:pt idx="3">
                  <c:v>Shirt</c:v>
                </c:pt>
                <c:pt idx="4">
                  <c:v>Shoes</c:v>
                </c:pt>
                <c:pt idx="5">
                  <c:v>Table</c:v>
                </c:pt>
              </c:strCache>
            </c:strRef>
          </c:cat>
          <c:val>
            <c:numRef>
              <c:f>'pivot tables'!$H$4:$H$10</c:f>
              <c:numCache>
                <c:formatCode>General</c:formatCode>
                <c:ptCount val="6"/>
                <c:pt idx="0">
                  <c:v>4693792</c:v>
                </c:pt>
                <c:pt idx="1">
                  <c:v>4878159</c:v>
                </c:pt>
                <c:pt idx="2">
                  <c:v>5401110</c:v>
                </c:pt>
                <c:pt idx="3">
                  <c:v>5366660</c:v>
                </c:pt>
                <c:pt idx="4">
                  <c:v>5295737</c:v>
                </c:pt>
                <c:pt idx="5">
                  <c:v>5746872</c:v>
                </c:pt>
              </c:numCache>
            </c:numRef>
          </c:val>
          <c:extLst>
            <c:ext xmlns:c16="http://schemas.microsoft.com/office/drawing/2014/chart" uri="{C3380CC4-5D6E-409C-BE32-E72D297353CC}">
              <c16:uniqueId val="{00000000-1ED1-4D7F-8BBB-E7AF5107E3C2}"/>
            </c:ext>
          </c:extLst>
        </c:ser>
        <c:dLbls>
          <c:dLblPos val="outEnd"/>
          <c:showLegendKey val="0"/>
          <c:showVal val="1"/>
          <c:showCatName val="0"/>
          <c:showSerName val="0"/>
          <c:showPercent val="0"/>
          <c:showBubbleSize val="0"/>
        </c:dLbls>
        <c:gapWidth val="219"/>
        <c:overlap val="-27"/>
        <c:axId val="1611819999"/>
        <c:axId val="1611817119"/>
      </c:barChart>
      <c:catAx>
        <c:axId val="161181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817119"/>
        <c:crosses val="autoZero"/>
        <c:auto val="1"/>
        <c:lblAlgn val="ctr"/>
        <c:lblOffset val="100"/>
        <c:noMultiLvlLbl val="0"/>
      </c:catAx>
      <c:valAx>
        <c:axId val="161181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81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tables!PivotTable10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9408565693994134"/>
          <c:y val="0.16704280499813015"/>
          <c:w val="0.45707669381741828"/>
          <c:h val="0.74017426834033739"/>
        </c:manualLayout>
      </c:layout>
      <c:pieChart>
        <c:varyColors val="1"/>
        <c:ser>
          <c:idx val="0"/>
          <c:order val="0"/>
          <c:tx>
            <c:strRef>
              <c:f>'pivot tables'!$K$3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D5-49E0-9641-9DACE9806C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D5-49E0-9641-9DACE9806C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D5-49E0-9641-9DACE9806CAE}"/>
              </c:ext>
            </c:extLst>
          </c:dPt>
          <c:cat>
            <c:strRef>
              <c:f>'pivot tables'!$J$4:$J$7</c:f>
              <c:strCache>
                <c:ptCount val="3"/>
                <c:pt idx="0">
                  <c:v>Clothing</c:v>
                </c:pt>
                <c:pt idx="1">
                  <c:v>Electronics</c:v>
                </c:pt>
                <c:pt idx="2">
                  <c:v>Furniture</c:v>
                </c:pt>
              </c:strCache>
            </c:strRef>
          </c:cat>
          <c:val>
            <c:numRef>
              <c:f>'pivot tables'!$K$4:$K$7</c:f>
              <c:numCache>
                <c:formatCode>0</c:formatCode>
                <c:ptCount val="3"/>
                <c:pt idx="0">
                  <c:v>1599359.5500000012</c:v>
                </c:pt>
                <c:pt idx="1">
                  <c:v>1541890.3499999996</c:v>
                </c:pt>
                <c:pt idx="2">
                  <c:v>1566099.5999999994</c:v>
                </c:pt>
              </c:numCache>
            </c:numRef>
          </c:val>
          <c:extLst>
            <c:ext xmlns:c16="http://schemas.microsoft.com/office/drawing/2014/chart" uri="{C3380CC4-5D6E-409C-BE32-E72D297353CC}">
              <c16:uniqueId val="{00000006-14D5-49E0-9641-9DACE9806CA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031466349725148"/>
          <c:y val="5.9894620463913729E-2"/>
          <c:w val="0.40968533650274847"/>
          <c:h val="0.396466963368709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19050</xdr:rowOff>
    </xdr:from>
    <xdr:to>
      <xdr:col>6</xdr:col>
      <xdr:colOff>28575</xdr:colOff>
      <xdr:row>24</xdr:row>
      <xdr:rowOff>95249</xdr:rowOff>
    </xdr:to>
    <xdr:graphicFrame macro="">
      <xdr:nvGraphicFramePr>
        <xdr:cNvPr id="2" name="Chart 1">
          <a:extLst>
            <a:ext uri="{FF2B5EF4-FFF2-40B4-BE49-F238E27FC236}">
              <a16:creationId xmlns:a16="http://schemas.microsoft.com/office/drawing/2014/main" id="{3DA4B4D5-3DB9-4A4B-8616-7963685A5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850106</xdr:colOff>
      <xdr:row>2</xdr:row>
      <xdr:rowOff>57149</xdr:rowOff>
    </xdr:from>
    <xdr:to>
      <xdr:col>8</xdr:col>
      <xdr:colOff>1409700</xdr:colOff>
      <xdr:row>9</xdr:row>
      <xdr:rowOff>180974</xdr:rowOff>
    </xdr:to>
    <xdr:graphicFrame macro="">
      <xdr:nvGraphicFramePr>
        <xdr:cNvPr id="3" name="Chart 2">
          <a:extLst>
            <a:ext uri="{FF2B5EF4-FFF2-40B4-BE49-F238E27FC236}">
              <a16:creationId xmlns:a16="http://schemas.microsoft.com/office/drawing/2014/main" id="{52BC44A0-6676-4F7D-B209-C5A11BADF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xdr:row>
      <xdr:rowOff>54769</xdr:rowOff>
    </xdr:from>
    <xdr:to>
      <xdr:col>3</xdr:col>
      <xdr:colOff>800101</xdr:colOff>
      <xdr:row>10</xdr:row>
      <xdr:rowOff>9525</xdr:rowOff>
    </xdr:to>
    <xdr:graphicFrame macro="">
      <xdr:nvGraphicFramePr>
        <xdr:cNvPr id="4" name="Chart 3">
          <a:extLst>
            <a:ext uri="{FF2B5EF4-FFF2-40B4-BE49-F238E27FC236}">
              <a16:creationId xmlns:a16="http://schemas.microsoft.com/office/drawing/2014/main" id="{4FD5B829-03AB-424B-A950-C3A495997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95249</xdr:colOff>
      <xdr:row>10</xdr:row>
      <xdr:rowOff>85724</xdr:rowOff>
    </xdr:from>
    <xdr:to>
      <xdr:col>8</xdr:col>
      <xdr:colOff>1428750</xdr:colOff>
      <xdr:row>24</xdr:row>
      <xdr:rowOff>66675</xdr:rowOff>
    </xdr:to>
    <xdr:graphicFrame macro="">
      <xdr:nvGraphicFramePr>
        <xdr:cNvPr id="5" name="Chart 4">
          <a:extLst>
            <a:ext uri="{FF2B5EF4-FFF2-40B4-BE49-F238E27FC236}">
              <a16:creationId xmlns:a16="http://schemas.microsoft.com/office/drawing/2014/main" id="{E223A90B-7781-4374-8A7B-4668A96C2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137583</xdr:colOff>
      <xdr:row>0</xdr:row>
      <xdr:rowOff>112184</xdr:rowOff>
    </xdr:from>
    <xdr:to>
      <xdr:col>5</xdr:col>
      <xdr:colOff>933450</xdr:colOff>
      <xdr:row>2</xdr:row>
      <xdr:rowOff>19050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566B6414-26BA-4693-888E-2BA05ACCE53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71558" y="112184"/>
              <a:ext cx="3053292" cy="630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942975</xdr:colOff>
      <xdr:row>0</xdr:row>
      <xdr:rowOff>95250</xdr:rowOff>
    </xdr:from>
    <xdr:to>
      <xdr:col>8</xdr:col>
      <xdr:colOff>1390650</xdr:colOff>
      <xdr:row>2</xdr:row>
      <xdr:rowOff>38100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1C60D4F-C8A7-425B-8849-31CA1CE6B5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34375" y="95250"/>
              <a:ext cx="3524250"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761999</xdr:colOff>
      <xdr:row>27</xdr:row>
      <xdr:rowOff>123825</xdr:rowOff>
    </xdr:from>
    <xdr:ext cx="5534025" cy="847724"/>
    <xdr:sp macro="" textlink="">
      <xdr:nvSpPr>
        <xdr:cNvPr id="8" name="TextBox 7">
          <a:extLst>
            <a:ext uri="{FF2B5EF4-FFF2-40B4-BE49-F238E27FC236}">
              <a16:creationId xmlns:a16="http://schemas.microsoft.com/office/drawing/2014/main" id="{E0580D9A-289C-43A4-0268-9551A4D9FDDD}"/>
            </a:ext>
          </a:extLst>
        </xdr:cNvPr>
        <xdr:cNvSpPr txBox="1"/>
      </xdr:nvSpPr>
      <xdr:spPr>
        <a:xfrm>
          <a:off x="4038599" y="6029325"/>
          <a:ext cx="5534025" cy="8477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tx2"/>
              </a:solidFill>
            </a:rPr>
            <a:t>• Sales peak observed in August</a:t>
          </a:r>
        </a:p>
        <a:p>
          <a:r>
            <a:rPr lang="en-IN" sz="1400" b="1">
              <a:solidFill>
                <a:schemeClr val="tx2"/>
              </a:solidFill>
            </a:rPr>
            <a:t>• Electronics category contributes highest revenue</a:t>
          </a:r>
        </a:p>
        <a:p>
          <a:r>
            <a:rPr lang="en-IN" sz="1400" b="1">
              <a:solidFill>
                <a:schemeClr val="tx2"/>
              </a:solidFill>
            </a:rPr>
            <a:t>• North region shows strongest performance</a:t>
          </a:r>
        </a:p>
        <a:p>
          <a:r>
            <a:rPr lang="en-IN" sz="1400" b="1">
              <a:solidFill>
                <a:schemeClr val="tx2"/>
              </a:solidFill>
            </a:rPr>
            <a:t>• Seasonal trends visible across months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oj sharma" refreshedDate="46100.56724178241" createdVersion="8" refreshedVersion="8" minRefreshableVersion="3" recordCount="799" xr:uid="{1580DE19-AB56-4B9B-A15E-5F7FA470FC6C}">
  <cacheSource type="worksheet">
    <worksheetSource name="Table1"/>
  </cacheSource>
  <cacheFields count="10">
    <cacheField name="Date" numFmtId="14">
      <sharedItems containsSemiMixedTypes="0" containsNonDate="0" containsDate="1" containsString="0" minDate="2024-01-01T00:00:00" maxDate="2024-12-29T00:00:00" count="307">
        <d v="2024-03-19T00:00:00"/>
        <d v="2024-07-24T00:00:00"/>
        <d v="2024-12-22T00:00:00"/>
        <d v="2024-07-13T00:00:00"/>
        <d v="2024-05-08T00:00:00"/>
        <d v="2024-12-10T00:00:00"/>
        <d v="2024-07-06T00:00:00"/>
        <d v="2024-12-05T00:00:00"/>
        <d v="2024-06-23T00:00:00"/>
        <d v="2024-05-24T00:00:00"/>
        <d v="2024-10-28T00:00:00"/>
        <d v="2024-10-11T00:00:00"/>
        <d v="2024-02-25T00:00:00"/>
        <d v="2024-01-21T00:00:00"/>
        <d v="2024-09-03T00:00:00"/>
        <d v="2024-08-21T00:00:00"/>
        <d v="2024-09-05T00:00:00"/>
        <d v="2024-02-27T00:00:00"/>
        <d v="2024-09-15T00:00:00"/>
        <d v="2024-05-27T00:00:00"/>
        <d v="2024-12-04T00:00:00"/>
        <d v="2024-08-07T00:00:00"/>
        <d v="2024-08-08T00:00:00"/>
        <d v="2024-04-05T00:00:00"/>
        <d v="2024-05-16T00:00:00"/>
        <d v="2024-08-26T00:00:00"/>
        <d v="2024-11-09T00:00:00"/>
        <d v="2024-11-22T00:00:00"/>
        <d v="2024-10-27T00:00:00"/>
        <d v="2024-06-26T00:00:00"/>
        <d v="2024-02-19T00:00:00"/>
        <d v="2024-06-11T00:00:00"/>
        <d v="2024-08-16T00:00:00"/>
        <d v="2024-11-05T00:00:00"/>
        <d v="2024-04-02T00:00:00"/>
        <d v="2024-03-20T00:00:00"/>
        <d v="2024-01-16T00:00:00"/>
        <d v="2024-03-16T00:00:00"/>
        <d v="2024-09-04T00:00:00"/>
        <d v="2024-12-27T00:00:00"/>
        <d v="2024-09-16T00:00:00"/>
        <d v="2024-03-27T00:00:00"/>
        <d v="2024-06-16T00:00:00"/>
        <d v="2024-04-07T00:00:00"/>
        <d v="2024-01-17T00:00:00"/>
        <d v="2024-05-01T00:00:00"/>
        <d v="2024-07-18T00:00:00"/>
        <d v="2024-06-20T00:00:00"/>
        <d v="2024-01-19T00:00:00"/>
        <d v="2024-06-22T00:00:00"/>
        <d v="2024-04-10T00:00:00"/>
        <d v="2024-09-01T00:00:00"/>
        <d v="2024-05-09T00:00:00"/>
        <d v="2024-08-14T00:00:00"/>
        <d v="2024-03-04T00:00:00"/>
        <d v="2024-03-23T00:00:00"/>
        <d v="2024-02-21T00:00:00"/>
        <d v="2024-02-22T00:00:00"/>
        <d v="2024-09-11T00:00:00"/>
        <d v="2024-03-22T00:00:00"/>
        <d v="2024-06-08T00:00:00"/>
        <d v="2024-12-07T00:00:00"/>
        <d v="2024-02-01T00:00:00"/>
        <d v="2024-07-25T00:00:00"/>
        <d v="2024-11-10T00:00:00"/>
        <d v="2024-11-16T00:00:00"/>
        <d v="2024-08-12T00:00:00"/>
        <d v="2024-06-02T00:00:00"/>
        <d v="2024-11-23T00:00:00"/>
        <d v="2024-06-12T00:00:00"/>
        <d v="2024-01-22T00:00:00"/>
        <d v="2024-04-22T00:00:00"/>
        <d v="2024-08-20T00:00:00"/>
        <d v="2024-04-04T00:00:00"/>
        <d v="2024-09-19T00:00:00"/>
        <d v="2024-03-13T00:00:00"/>
        <d v="2024-10-08T00:00:00"/>
        <d v="2024-01-27T00:00:00"/>
        <d v="2024-01-18T00:00:00"/>
        <d v="2024-06-05T00:00:00"/>
        <d v="2024-01-25T00:00:00"/>
        <d v="2024-07-10T00:00:00"/>
        <d v="2024-03-26T00:00:00"/>
        <d v="2024-01-07T00:00:00"/>
        <d v="2024-07-20T00:00:00"/>
        <d v="2024-03-09T00:00:00"/>
        <d v="2024-12-19T00:00:00"/>
        <d v="2024-02-09T00:00:00"/>
        <d v="2024-11-08T00:00:00"/>
        <d v="2024-03-06T00:00:00"/>
        <d v="2024-01-01T00:00:00"/>
        <d v="2024-12-23T00:00:00"/>
        <d v="2024-09-28T00:00:00"/>
        <d v="2024-04-24T00:00:00"/>
        <d v="2024-08-28T00:00:00"/>
        <d v="2024-12-12T00:00:00"/>
        <d v="2024-02-26T00:00:00"/>
        <d v="2024-12-17T00:00:00"/>
        <d v="2024-10-02T00:00:00"/>
        <d v="2024-12-06T00:00:00"/>
        <d v="2024-04-09T00:00:00"/>
        <d v="2024-03-11T00:00:00"/>
        <d v="2024-04-17T00:00:00"/>
        <d v="2024-11-14T00:00:00"/>
        <d v="2024-10-19T00:00:00"/>
        <d v="2024-12-03T00:00:00"/>
        <d v="2024-07-15T00:00:00"/>
        <d v="2024-11-18T00:00:00"/>
        <d v="2024-02-17T00:00:00"/>
        <d v="2024-05-15T00:00:00"/>
        <d v="2024-03-01T00:00:00"/>
        <d v="2024-09-24T00:00:00"/>
        <d v="2024-03-15T00:00:00"/>
        <d v="2024-02-10T00:00:00"/>
        <d v="2024-04-01T00:00:00"/>
        <d v="2024-10-15T00:00:00"/>
        <d v="2024-01-02T00:00:00"/>
        <d v="2024-10-20T00:00:00"/>
        <d v="2024-01-24T00:00:00"/>
        <d v="2024-10-24T00:00:00"/>
        <d v="2024-10-10T00:00:00"/>
        <d v="2024-11-19T00:00:00"/>
        <d v="2024-08-03T00:00:00"/>
        <d v="2024-12-13T00:00:00"/>
        <d v="2024-12-18T00:00:00"/>
        <d v="2024-11-27T00:00:00"/>
        <d v="2024-05-23T00:00:00"/>
        <d v="2024-08-17T00:00:00"/>
        <d v="2024-02-15T00:00:00"/>
        <d v="2024-12-25T00:00:00"/>
        <d v="2024-02-24T00:00:00"/>
        <d v="2024-11-24T00:00:00"/>
        <d v="2024-08-04T00:00:00"/>
        <d v="2024-11-04T00:00:00"/>
        <d v="2024-04-20T00:00:00"/>
        <d v="2024-09-10T00:00:00"/>
        <d v="2024-09-26T00:00:00"/>
        <d v="2024-02-03T00:00:00"/>
        <d v="2024-12-21T00:00:00"/>
        <d v="2024-07-19T00:00:00"/>
        <d v="2024-01-03T00:00:00"/>
        <d v="2024-02-16T00:00:00"/>
        <d v="2024-02-13T00:00:00"/>
        <d v="2024-12-02T00:00:00"/>
        <d v="2024-09-17T00:00:00"/>
        <d v="2024-07-09T00:00:00"/>
        <d v="2024-05-02T00:00:00"/>
        <d v="2024-06-17T00:00:00"/>
        <d v="2024-02-28T00:00:00"/>
        <d v="2024-07-23T00:00:00"/>
        <d v="2024-05-19T00:00:00"/>
        <d v="2024-08-09T00:00:00"/>
        <d v="2024-02-23T00:00:00"/>
        <d v="2024-05-18T00:00:00"/>
        <d v="2024-06-28T00:00:00"/>
        <d v="2024-10-03T00:00:00"/>
        <d v="2024-08-22T00:00:00"/>
        <d v="2024-08-02T00:00:00"/>
        <d v="2024-07-14T00:00:00"/>
        <d v="2024-03-18T00:00:00"/>
        <d v="2024-10-26T00:00:00"/>
        <d v="2024-08-23T00:00:00"/>
        <d v="2024-05-25T00:00:00"/>
        <d v="2024-08-13T00:00:00"/>
        <d v="2024-03-02T00:00:00"/>
        <d v="2024-06-04T00:00:00"/>
        <d v="2024-10-25T00:00:00"/>
        <d v="2024-09-18T00:00:00"/>
        <d v="2024-12-11T00:00:00"/>
        <d v="2024-12-16T00:00:00"/>
        <d v="2024-01-09T00:00:00"/>
        <d v="2024-08-10T00:00:00"/>
        <d v="2024-06-21T00:00:00"/>
        <d v="2024-05-04T00:00:00"/>
        <d v="2024-03-28T00:00:00"/>
        <d v="2024-09-06T00:00:00"/>
        <d v="2024-01-05T00:00:00"/>
        <d v="2024-07-01T00:00:00"/>
        <d v="2024-09-23T00:00:00"/>
        <d v="2024-10-14T00:00:00"/>
        <d v="2024-07-08T00:00:00"/>
        <d v="2024-09-21T00:00:00"/>
        <d v="2024-11-20T00:00:00"/>
        <d v="2024-04-19T00:00:00"/>
        <d v="2024-09-20T00:00:00"/>
        <d v="2024-10-06T00:00:00"/>
        <d v="2024-01-06T00:00:00"/>
        <d v="2024-02-18T00:00:00"/>
        <d v="2024-12-24T00:00:00"/>
        <d v="2024-10-13T00:00:00"/>
        <d v="2024-06-25T00:00:00"/>
        <d v="2024-02-07T00:00:00"/>
        <d v="2024-07-28T00:00:00"/>
        <d v="2024-08-19T00:00:00"/>
        <d v="2024-11-25T00:00:00"/>
        <d v="2024-04-14T00:00:00"/>
        <d v="2024-06-14T00:00:00"/>
        <d v="2024-02-14T00:00:00"/>
        <d v="2024-03-24T00:00:00"/>
        <d v="2024-11-21T00:00:00"/>
        <d v="2024-01-20T00:00:00"/>
        <d v="2024-01-26T00:00:00"/>
        <d v="2024-09-14T00:00:00"/>
        <d v="2024-08-05T00:00:00"/>
        <d v="2024-06-15T00:00:00"/>
        <d v="2024-12-01T00:00:00"/>
        <d v="2024-05-07T00:00:00"/>
        <d v="2024-03-03T00:00:00"/>
        <d v="2024-11-28T00:00:00"/>
        <d v="2024-12-08T00:00:00"/>
        <d v="2024-02-20T00:00:00"/>
        <d v="2024-03-14T00:00:00"/>
        <d v="2024-11-06T00:00:00"/>
        <d v="2024-05-13T00:00:00"/>
        <d v="2024-07-22T00:00:00"/>
        <d v="2024-12-15T00:00:00"/>
        <d v="2024-01-11T00:00:00"/>
        <d v="2024-11-13T00:00:00"/>
        <d v="2024-06-24T00:00:00"/>
        <d v="2024-07-02T00:00:00"/>
        <d v="2024-06-07T00:00:00"/>
        <d v="2024-01-12T00:00:00"/>
        <d v="2024-07-05T00:00:00"/>
        <d v="2024-08-01T00:00:00"/>
        <d v="2024-12-28T00:00:00"/>
        <d v="2024-10-18T00:00:00"/>
        <d v="2024-04-13T00:00:00"/>
        <d v="2024-10-23T00:00:00"/>
        <d v="2024-10-01T00:00:00"/>
        <d v="2024-01-10T00:00:00"/>
        <d v="2024-04-15T00:00:00"/>
        <d v="2024-07-16T00:00:00"/>
        <d v="2024-03-05T00:00:00"/>
        <d v="2024-02-04T00:00:00"/>
        <d v="2024-02-02T00:00:00"/>
        <d v="2024-10-21T00:00:00"/>
        <d v="2024-10-16T00:00:00"/>
        <d v="2024-06-09T00:00:00"/>
        <d v="2024-07-03T00:00:00"/>
        <d v="2024-12-26T00:00:00"/>
        <d v="2024-01-14T00:00:00"/>
        <d v="2024-09-09T00:00:00"/>
        <d v="2024-05-21T00:00:00"/>
        <d v="2024-05-28T00:00:00"/>
        <d v="2024-06-19T00:00:00"/>
        <d v="2024-04-26T00:00:00"/>
        <d v="2024-12-09T00:00:00"/>
        <d v="2024-03-12T00:00:00"/>
        <d v="2024-02-05T00:00:00"/>
        <d v="2024-04-28T00:00:00"/>
        <d v="2024-07-26T00:00:00"/>
        <d v="2024-01-15T00:00:00"/>
        <d v="2024-10-12T00:00:00"/>
        <d v="2024-09-27T00:00:00"/>
        <d v="2024-10-05T00:00:00"/>
        <d v="2024-08-18T00:00:00"/>
        <d v="2024-09-08T00:00:00"/>
        <d v="2024-09-12T00:00:00"/>
        <d v="2024-07-11T00:00:00"/>
        <d v="2024-07-07T00:00:00"/>
        <d v="2024-06-03T00:00:00"/>
        <d v="2024-08-24T00:00:00"/>
        <d v="2024-03-08T00:00:00"/>
        <d v="2024-11-15T00:00:00"/>
        <d v="2024-04-12T00:00:00"/>
        <d v="2024-08-27T00:00:00"/>
        <d v="2024-02-08T00:00:00"/>
        <d v="2024-05-26T00:00:00"/>
        <d v="2024-01-23T00:00:00"/>
        <d v="2024-03-07T00:00:00"/>
        <d v="2024-11-07T00:00:00"/>
        <d v="2024-01-04T00:00:00"/>
        <d v="2024-06-06T00:00:00"/>
        <d v="2024-05-05T00:00:00"/>
        <d v="2024-02-06T00:00:00"/>
        <d v="2024-10-22T00:00:00"/>
        <d v="2024-06-18T00:00:00"/>
        <d v="2024-11-12T00:00:00"/>
        <d v="2024-05-11T00:00:00"/>
        <d v="2024-11-11T00:00:00"/>
        <d v="2024-12-14T00:00:00"/>
        <d v="2024-07-17T00:00:00"/>
        <d v="2024-05-03T00:00:00"/>
        <d v="2024-04-21T00:00:00"/>
        <d v="2024-03-10T00:00:00"/>
        <d v="2024-03-17T00:00:00"/>
        <d v="2024-05-14T00:00:00"/>
        <d v="2024-02-12T00:00:00"/>
        <d v="2024-05-10T00:00:00"/>
        <d v="2024-06-13T00:00:00"/>
        <d v="2024-03-25T00:00:00"/>
        <d v="2024-05-22T00:00:00"/>
        <d v="2024-06-01T00:00:00"/>
        <d v="2024-03-21T00:00:00"/>
        <d v="2024-04-08T00:00:00"/>
        <d v="2024-11-02T00:00:00"/>
        <d v="2024-09-22T00:00:00"/>
        <d v="2024-07-27T00:00:00"/>
        <d v="2024-01-08T00:00:00"/>
        <d v="2024-04-03T00:00:00"/>
        <d v="2024-10-17T00:00:00"/>
        <d v="2024-08-11T00:00:00"/>
        <d v="2024-09-13T00:00:00"/>
        <d v="2024-04-11T00:00:00"/>
        <d v="2024-04-18T00:00:00"/>
        <d v="2024-09-02T00:00:00"/>
        <d v="2024-08-06T00:00:00"/>
      </sharedItems>
      <fieldGroup par="9"/>
    </cacheField>
    <cacheField name="Order ID" numFmtId="0">
      <sharedItems/>
    </cacheField>
    <cacheField name="Product" numFmtId="0">
      <sharedItems count="6">
        <s v="Shirt"/>
        <s v="Mobile"/>
        <s v="Chair"/>
        <s v="Shoes"/>
        <s v="Table"/>
        <s v="Laptop"/>
      </sharedItems>
    </cacheField>
    <cacheField name="Category" numFmtId="0">
      <sharedItems count="3">
        <s v="Clothing"/>
        <s v="Electronics"/>
        <s v="Furniture"/>
      </sharedItems>
    </cacheField>
    <cacheField name="Region" numFmtId="0">
      <sharedItems count="4">
        <s v="East"/>
        <s v="West"/>
        <s v="North"/>
        <s v="South"/>
      </sharedItems>
    </cacheField>
    <cacheField name="Sales" numFmtId="0">
      <sharedItems containsSemiMixedTypes="0" containsString="0" containsNumber="1" containsInteger="1" minValue="659" maxValue="79960"/>
    </cacheField>
    <cacheField name="Profit" numFmtId="1">
      <sharedItems containsSemiMixedTypes="0" containsString="0" containsNumber="1" minValue="98.85" maxValue="11994"/>
    </cacheField>
    <cacheField name="Quantity" numFmtId="0">
      <sharedItems containsSemiMixedTypes="0" containsString="0" containsNumber="1" containsInteger="1" minValue="1" maxValue="5"/>
    </cacheField>
    <cacheField name="Days (Date)" numFmtId="0" databaseField="0">
      <fieldGroup base="0">
        <rangePr groupBy="days" startDate="2024-01-01T00:00:00" endDate="2024-12-29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4"/>
        </groupItems>
      </fieldGroup>
    </cacheField>
    <cacheField name="Months (Date)" numFmtId="0" databaseField="0">
      <fieldGroup base="0">
        <rangePr groupBy="months" startDate="2024-01-01T00:00:00" endDate="2024-12-29T00:00:00"/>
        <groupItems count="14">
          <s v="&lt;01-01-2024"/>
          <s v="Jan"/>
          <s v="Feb"/>
          <s v="Mar"/>
          <s v="Apr"/>
          <s v="May"/>
          <s v="Jun"/>
          <s v="Jul"/>
          <s v="Aug"/>
          <s v="Sep"/>
          <s v="Oct"/>
          <s v="Nov"/>
          <s v="Dec"/>
          <s v="&gt;29-12-2024"/>
        </groupItems>
      </fieldGroup>
    </cacheField>
  </cacheFields>
  <extLst>
    <ext xmlns:x14="http://schemas.microsoft.com/office/spreadsheetml/2009/9/main" uri="{725AE2AE-9491-48be-B2B4-4EB974FC3084}">
      <x14:pivotCacheDefinition pivotCacheId="799034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9">
  <r>
    <x v="0"/>
    <s v="ORD9029"/>
    <x v="0"/>
    <x v="0"/>
    <x v="0"/>
    <n v="1681"/>
    <n v="252.14999999999998"/>
    <n v="3"/>
  </r>
  <r>
    <x v="1"/>
    <s v="ORD5270"/>
    <x v="0"/>
    <x v="0"/>
    <x v="1"/>
    <n v="38611"/>
    <n v="5791.65"/>
    <n v="5"/>
  </r>
  <r>
    <x v="2"/>
    <s v="ORD5944"/>
    <x v="1"/>
    <x v="1"/>
    <x v="0"/>
    <n v="2442"/>
    <n v="366.3"/>
    <n v="5"/>
  </r>
  <r>
    <x v="3"/>
    <s v="ORD8984"/>
    <x v="0"/>
    <x v="0"/>
    <x v="2"/>
    <n v="997"/>
    <n v="149.54999999999998"/>
    <n v="3"/>
  </r>
  <r>
    <x v="4"/>
    <s v="ORD6440"/>
    <x v="2"/>
    <x v="2"/>
    <x v="2"/>
    <n v="4766"/>
    <n v="714.9"/>
    <n v="3"/>
  </r>
  <r>
    <x v="5"/>
    <s v="ORD5685"/>
    <x v="3"/>
    <x v="0"/>
    <x v="0"/>
    <n v="22410"/>
    <n v="3361.5"/>
    <n v="1"/>
  </r>
  <r>
    <x v="6"/>
    <s v="ORD5545"/>
    <x v="3"/>
    <x v="0"/>
    <x v="3"/>
    <n v="36511"/>
    <n v="5476.65"/>
    <n v="1"/>
  </r>
  <r>
    <x v="7"/>
    <s v="ORD3872"/>
    <x v="4"/>
    <x v="2"/>
    <x v="3"/>
    <n v="55709"/>
    <n v="8356.35"/>
    <n v="3"/>
  </r>
  <r>
    <x v="8"/>
    <s v="ORD3293"/>
    <x v="2"/>
    <x v="2"/>
    <x v="0"/>
    <n v="3009"/>
    <n v="451.34999999999997"/>
    <n v="1"/>
  </r>
  <r>
    <x v="9"/>
    <s v="ORD2611"/>
    <x v="3"/>
    <x v="0"/>
    <x v="0"/>
    <n v="61451"/>
    <n v="9217.65"/>
    <n v="3"/>
  </r>
  <r>
    <x v="10"/>
    <s v="ORD1072"/>
    <x v="2"/>
    <x v="2"/>
    <x v="3"/>
    <n v="1771"/>
    <n v="265.64999999999998"/>
    <n v="2"/>
  </r>
  <r>
    <x v="11"/>
    <s v="ORD3251"/>
    <x v="4"/>
    <x v="2"/>
    <x v="3"/>
    <n v="26790"/>
    <n v="4018.5"/>
    <n v="2"/>
  </r>
  <r>
    <x v="12"/>
    <s v="ORD6914"/>
    <x v="1"/>
    <x v="1"/>
    <x v="0"/>
    <n v="60298"/>
    <n v="9044.6999999999989"/>
    <n v="2"/>
  </r>
  <r>
    <x v="13"/>
    <s v="ORD9872"/>
    <x v="1"/>
    <x v="1"/>
    <x v="3"/>
    <n v="64049"/>
    <n v="9607.35"/>
    <n v="1"/>
  </r>
  <r>
    <x v="14"/>
    <s v="ORD5163"/>
    <x v="1"/>
    <x v="1"/>
    <x v="3"/>
    <n v="24309"/>
    <n v="3646.35"/>
    <n v="5"/>
  </r>
  <r>
    <x v="15"/>
    <s v="ORD7598"/>
    <x v="4"/>
    <x v="2"/>
    <x v="1"/>
    <n v="40481"/>
    <n v="6072.15"/>
    <n v="2"/>
  </r>
  <r>
    <x v="16"/>
    <s v="ORD2292"/>
    <x v="1"/>
    <x v="1"/>
    <x v="0"/>
    <n v="79147"/>
    <n v="11872.05"/>
    <n v="5"/>
  </r>
  <r>
    <x v="17"/>
    <s v="ORD4998"/>
    <x v="3"/>
    <x v="0"/>
    <x v="1"/>
    <n v="53490"/>
    <n v="8023.5"/>
    <n v="1"/>
  </r>
  <r>
    <x v="18"/>
    <s v="ORD7961"/>
    <x v="0"/>
    <x v="0"/>
    <x v="2"/>
    <n v="17159"/>
    <n v="2573.85"/>
    <n v="3"/>
  </r>
  <r>
    <x v="19"/>
    <s v="ORD6994"/>
    <x v="5"/>
    <x v="1"/>
    <x v="1"/>
    <n v="16945"/>
    <n v="2541.75"/>
    <n v="4"/>
  </r>
  <r>
    <x v="20"/>
    <s v="ORD1674"/>
    <x v="2"/>
    <x v="2"/>
    <x v="3"/>
    <n v="14336"/>
    <n v="2150.4"/>
    <n v="5"/>
  </r>
  <r>
    <x v="9"/>
    <s v="ORD4088"/>
    <x v="1"/>
    <x v="1"/>
    <x v="3"/>
    <n v="30242"/>
    <n v="4536.3"/>
    <n v="3"/>
  </r>
  <r>
    <x v="21"/>
    <s v="ORD5781"/>
    <x v="1"/>
    <x v="1"/>
    <x v="0"/>
    <n v="16940"/>
    <n v="2541"/>
    <n v="5"/>
  </r>
  <r>
    <x v="22"/>
    <s v="ORD1099"/>
    <x v="0"/>
    <x v="0"/>
    <x v="2"/>
    <n v="2845"/>
    <n v="426.75"/>
    <n v="4"/>
  </r>
  <r>
    <x v="23"/>
    <s v="ORD3820"/>
    <x v="4"/>
    <x v="2"/>
    <x v="3"/>
    <n v="74375"/>
    <n v="11156.25"/>
    <n v="3"/>
  </r>
  <r>
    <x v="24"/>
    <s v="ORD4569"/>
    <x v="5"/>
    <x v="1"/>
    <x v="3"/>
    <n v="71816"/>
    <n v="10772.4"/>
    <n v="1"/>
  </r>
  <r>
    <x v="25"/>
    <s v="ORD5127"/>
    <x v="2"/>
    <x v="2"/>
    <x v="2"/>
    <n v="12033"/>
    <n v="1804.95"/>
    <n v="1"/>
  </r>
  <r>
    <x v="26"/>
    <s v="ORD8378"/>
    <x v="1"/>
    <x v="1"/>
    <x v="3"/>
    <n v="22331"/>
    <n v="3349.65"/>
    <n v="1"/>
  </r>
  <r>
    <x v="27"/>
    <s v="ORD7372"/>
    <x v="5"/>
    <x v="1"/>
    <x v="3"/>
    <n v="57075"/>
    <n v="8561.25"/>
    <n v="5"/>
  </r>
  <r>
    <x v="28"/>
    <s v="ORD1220"/>
    <x v="5"/>
    <x v="1"/>
    <x v="1"/>
    <n v="30526"/>
    <n v="4578.8999999999996"/>
    <n v="2"/>
  </r>
  <r>
    <x v="29"/>
    <s v="ORD9675"/>
    <x v="5"/>
    <x v="1"/>
    <x v="3"/>
    <n v="9971"/>
    <n v="1495.6499999999999"/>
    <n v="1"/>
  </r>
  <r>
    <x v="30"/>
    <s v="ORD8355"/>
    <x v="3"/>
    <x v="0"/>
    <x v="0"/>
    <n v="7151"/>
    <n v="1072.6499999999999"/>
    <n v="4"/>
  </r>
  <r>
    <x v="31"/>
    <s v="ORD1644"/>
    <x v="2"/>
    <x v="2"/>
    <x v="2"/>
    <n v="30883"/>
    <n v="4632.45"/>
    <n v="4"/>
  </r>
  <r>
    <x v="32"/>
    <s v="ORD9161"/>
    <x v="5"/>
    <x v="1"/>
    <x v="2"/>
    <n v="55864"/>
    <n v="8379.6"/>
    <n v="4"/>
  </r>
  <r>
    <x v="33"/>
    <s v="ORD5980"/>
    <x v="1"/>
    <x v="1"/>
    <x v="2"/>
    <n v="70211"/>
    <n v="10531.65"/>
    <n v="3"/>
  </r>
  <r>
    <x v="34"/>
    <s v="ORD5562"/>
    <x v="5"/>
    <x v="1"/>
    <x v="2"/>
    <n v="69847"/>
    <n v="10477.049999999999"/>
    <n v="3"/>
  </r>
  <r>
    <x v="35"/>
    <s v="ORD1286"/>
    <x v="3"/>
    <x v="0"/>
    <x v="2"/>
    <n v="17167"/>
    <n v="2575.0499999999997"/>
    <n v="5"/>
  </r>
  <r>
    <x v="36"/>
    <s v="ORD8769"/>
    <x v="2"/>
    <x v="2"/>
    <x v="0"/>
    <n v="64281"/>
    <n v="9642.15"/>
    <n v="1"/>
  </r>
  <r>
    <x v="37"/>
    <s v="ORD4548"/>
    <x v="4"/>
    <x v="2"/>
    <x v="2"/>
    <n v="40163"/>
    <n v="6024.45"/>
    <n v="2"/>
  </r>
  <r>
    <x v="38"/>
    <s v="ORD1351"/>
    <x v="4"/>
    <x v="2"/>
    <x v="3"/>
    <n v="66156"/>
    <n v="9923.4"/>
    <n v="2"/>
  </r>
  <r>
    <x v="39"/>
    <s v="ORD9976"/>
    <x v="3"/>
    <x v="0"/>
    <x v="1"/>
    <n v="26150"/>
    <n v="3922.5"/>
    <n v="1"/>
  </r>
  <r>
    <x v="40"/>
    <s v="ORD6776"/>
    <x v="2"/>
    <x v="2"/>
    <x v="2"/>
    <n v="39732"/>
    <n v="5959.8"/>
    <n v="1"/>
  </r>
  <r>
    <x v="41"/>
    <s v="ORD9165"/>
    <x v="5"/>
    <x v="1"/>
    <x v="2"/>
    <n v="7270"/>
    <n v="1090.5"/>
    <n v="1"/>
  </r>
  <r>
    <x v="42"/>
    <s v="ORD6509"/>
    <x v="4"/>
    <x v="2"/>
    <x v="2"/>
    <n v="61674"/>
    <n v="9251.1"/>
    <n v="4"/>
  </r>
  <r>
    <x v="43"/>
    <s v="ORD1190"/>
    <x v="1"/>
    <x v="1"/>
    <x v="1"/>
    <n v="66114"/>
    <n v="9917.1"/>
    <n v="2"/>
  </r>
  <r>
    <x v="44"/>
    <s v="ORD8445"/>
    <x v="2"/>
    <x v="2"/>
    <x v="3"/>
    <n v="19902"/>
    <n v="2985.2999999999997"/>
    <n v="5"/>
  </r>
  <r>
    <x v="45"/>
    <s v="ORD3947"/>
    <x v="1"/>
    <x v="1"/>
    <x v="1"/>
    <n v="44135"/>
    <n v="6620.25"/>
    <n v="2"/>
  </r>
  <r>
    <x v="46"/>
    <s v="ORD4678"/>
    <x v="4"/>
    <x v="2"/>
    <x v="2"/>
    <n v="77498"/>
    <n v="11624.699999999999"/>
    <n v="4"/>
  </r>
  <r>
    <x v="47"/>
    <s v="ORD3596"/>
    <x v="5"/>
    <x v="1"/>
    <x v="2"/>
    <n v="23627"/>
    <n v="3544.0499999999997"/>
    <n v="5"/>
  </r>
  <r>
    <x v="48"/>
    <s v="ORD5313"/>
    <x v="2"/>
    <x v="2"/>
    <x v="2"/>
    <n v="78273"/>
    <n v="11740.949999999999"/>
    <n v="5"/>
  </r>
  <r>
    <x v="49"/>
    <s v="ORD9183"/>
    <x v="0"/>
    <x v="0"/>
    <x v="2"/>
    <n v="76081"/>
    <n v="11412.15"/>
    <n v="2"/>
  </r>
  <r>
    <x v="50"/>
    <s v="ORD3649"/>
    <x v="5"/>
    <x v="1"/>
    <x v="1"/>
    <n v="60650"/>
    <n v="9097.5"/>
    <n v="4"/>
  </r>
  <r>
    <x v="51"/>
    <s v="ORD8915"/>
    <x v="4"/>
    <x v="2"/>
    <x v="0"/>
    <n v="74922"/>
    <n v="11238.3"/>
    <n v="2"/>
  </r>
  <r>
    <x v="52"/>
    <s v="ORD3169"/>
    <x v="0"/>
    <x v="0"/>
    <x v="0"/>
    <n v="61703"/>
    <n v="9255.4499999999989"/>
    <n v="1"/>
  </r>
  <r>
    <x v="53"/>
    <s v="ORD7372"/>
    <x v="4"/>
    <x v="2"/>
    <x v="3"/>
    <n v="43740"/>
    <n v="6561"/>
    <n v="4"/>
  </r>
  <r>
    <x v="9"/>
    <s v="ORD6650"/>
    <x v="3"/>
    <x v="0"/>
    <x v="1"/>
    <n v="14893"/>
    <n v="2233.9499999999998"/>
    <n v="4"/>
  </r>
  <r>
    <x v="54"/>
    <s v="ORD9863"/>
    <x v="0"/>
    <x v="0"/>
    <x v="0"/>
    <n v="27720"/>
    <n v="4158"/>
    <n v="3"/>
  </r>
  <r>
    <x v="55"/>
    <s v="ORD2449"/>
    <x v="1"/>
    <x v="1"/>
    <x v="3"/>
    <n v="30044"/>
    <n v="4506.5999999999995"/>
    <n v="4"/>
  </r>
  <r>
    <x v="56"/>
    <s v="ORD9513"/>
    <x v="3"/>
    <x v="0"/>
    <x v="3"/>
    <n v="28520"/>
    <n v="4278"/>
    <n v="3"/>
  </r>
  <r>
    <x v="57"/>
    <s v="ORD1356"/>
    <x v="5"/>
    <x v="1"/>
    <x v="2"/>
    <n v="48587"/>
    <n v="7288.05"/>
    <n v="3"/>
  </r>
  <r>
    <x v="58"/>
    <s v="ORD6664"/>
    <x v="2"/>
    <x v="2"/>
    <x v="0"/>
    <n v="71509"/>
    <n v="10726.35"/>
    <n v="1"/>
  </r>
  <r>
    <x v="59"/>
    <s v="ORD5746"/>
    <x v="2"/>
    <x v="2"/>
    <x v="2"/>
    <n v="19727"/>
    <n v="2959.0499999999997"/>
    <n v="2"/>
  </r>
  <r>
    <x v="47"/>
    <s v="ORD8892"/>
    <x v="5"/>
    <x v="1"/>
    <x v="1"/>
    <n v="43335"/>
    <n v="6500.25"/>
    <n v="2"/>
  </r>
  <r>
    <x v="60"/>
    <s v="ORD3698"/>
    <x v="0"/>
    <x v="0"/>
    <x v="2"/>
    <n v="75810"/>
    <n v="11371.5"/>
    <n v="4"/>
  </r>
  <r>
    <x v="61"/>
    <s v="ORD6792"/>
    <x v="3"/>
    <x v="0"/>
    <x v="2"/>
    <n v="9931"/>
    <n v="1489.6499999999999"/>
    <n v="3"/>
  </r>
  <r>
    <x v="62"/>
    <s v="ORD8612"/>
    <x v="3"/>
    <x v="0"/>
    <x v="1"/>
    <n v="7501"/>
    <n v="1125.1499999999999"/>
    <n v="2"/>
  </r>
  <r>
    <x v="63"/>
    <s v="ORD5487"/>
    <x v="3"/>
    <x v="0"/>
    <x v="0"/>
    <n v="53031"/>
    <n v="7954.65"/>
    <n v="4"/>
  </r>
  <r>
    <x v="64"/>
    <s v="ORD7154"/>
    <x v="0"/>
    <x v="0"/>
    <x v="1"/>
    <n v="59765"/>
    <n v="8964.75"/>
    <n v="2"/>
  </r>
  <r>
    <x v="65"/>
    <s v="ORD9470"/>
    <x v="5"/>
    <x v="1"/>
    <x v="2"/>
    <n v="21563"/>
    <n v="3234.45"/>
    <n v="2"/>
  </r>
  <r>
    <x v="66"/>
    <s v="ORD3858"/>
    <x v="3"/>
    <x v="0"/>
    <x v="3"/>
    <n v="59925"/>
    <n v="8988.75"/>
    <n v="4"/>
  </r>
  <r>
    <x v="67"/>
    <s v="ORD9692"/>
    <x v="5"/>
    <x v="1"/>
    <x v="0"/>
    <n v="6984"/>
    <n v="1047.5999999999999"/>
    <n v="1"/>
  </r>
  <r>
    <x v="68"/>
    <s v="ORD3637"/>
    <x v="5"/>
    <x v="1"/>
    <x v="0"/>
    <n v="25592"/>
    <n v="3838.7999999999997"/>
    <n v="4"/>
  </r>
  <r>
    <x v="69"/>
    <s v="ORD1097"/>
    <x v="0"/>
    <x v="0"/>
    <x v="3"/>
    <n v="43295"/>
    <n v="6494.25"/>
    <n v="2"/>
  </r>
  <r>
    <x v="70"/>
    <s v="ORD2033"/>
    <x v="5"/>
    <x v="1"/>
    <x v="2"/>
    <n v="2583"/>
    <n v="387.45"/>
    <n v="4"/>
  </r>
  <r>
    <x v="71"/>
    <s v="ORD7853"/>
    <x v="1"/>
    <x v="1"/>
    <x v="2"/>
    <n v="40469"/>
    <n v="6070.3499999999995"/>
    <n v="1"/>
  </r>
  <r>
    <x v="72"/>
    <s v="ORD8412"/>
    <x v="5"/>
    <x v="1"/>
    <x v="2"/>
    <n v="76147"/>
    <n v="11422.05"/>
    <n v="4"/>
  </r>
  <r>
    <x v="25"/>
    <s v="ORD7820"/>
    <x v="3"/>
    <x v="0"/>
    <x v="2"/>
    <n v="27520"/>
    <n v="4128"/>
    <n v="3"/>
  </r>
  <r>
    <x v="73"/>
    <s v="ORD6879"/>
    <x v="2"/>
    <x v="2"/>
    <x v="3"/>
    <n v="17888"/>
    <n v="2683.2"/>
    <n v="1"/>
  </r>
  <r>
    <x v="74"/>
    <s v="ORD9108"/>
    <x v="0"/>
    <x v="0"/>
    <x v="2"/>
    <n v="16958"/>
    <n v="2543.6999999999998"/>
    <n v="5"/>
  </r>
  <r>
    <x v="39"/>
    <s v="ORD9738"/>
    <x v="5"/>
    <x v="1"/>
    <x v="1"/>
    <n v="34090"/>
    <n v="5113.5"/>
    <n v="1"/>
  </r>
  <r>
    <x v="75"/>
    <s v="ORD1106"/>
    <x v="5"/>
    <x v="1"/>
    <x v="2"/>
    <n v="73908"/>
    <n v="11086.199999999999"/>
    <n v="1"/>
  </r>
  <r>
    <x v="76"/>
    <s v="ORD3039"/>
    <x v="1"/>
    <x v="1"/>
    <x v="3"/>
    <n v="37294"/>
    <n v="5594.0999999999995"/>
    <n v="3"/>
  </r>
  <r>
    <x v="77"/>
    <s v="ORD8606"/>
    <x v="2"/>
    <x v="2"/>
    <x v="0"/>
    <n v="6987"/>
    <n v="1048.05"/>
    <n v="2"/>
  </r>
  <r>
    <x v="78"/>
    <s v="ORD6744"/>
    <x v="0"/>
    <x v="0"/>
    <x v="0"/>
    <n v="5463"/>
    <n v="819.44999999999993"/>
    <n v="4"/>
  </r>
  <r>
    <x v="79"/>
    <s v="ORD7819"/>
    <x v="1"/>
    <x v="1"/>
    <x v="1"/>
    <n v="71044"/>
    <n v="10656.6"/>
    <n v="3"/>
  </r>
  <r>
    <x v="80"/>
    <s v="ORD4871"/>
    <x v="2"/>
    <x v="2"/>
    <x v="3"/>
    <n v="66913"/>
    <n v="10036.949999999999"/>
    <n v="2"/>
  </r>
  <r>
    <x v="37"/>
    <s v="ORD7889"/>
    <x v="1"/>
    <x v="1"/>
    <x v="1"/>
    <n v="58214"/>
    <n v="8732.1"/>
    <n v="2"/>
  </r>
  <r>
    <x v="40"/>
    <s v="ORD4849"/>
    <x v="0"/>
    <x v="0"/>
    <x v="1"/>
    <n v="57709"/>
    <n v="8656.35"/>
    <n v="4"/>
  </r>
  <r>
    <x v="81"/>
    <s v="ORD4881"/>
    <x v="1"/>
    <x v="1"/>
    <x v="1"/>
    <n v="74657"/>
    <n v="11198.55"/>
    <n v="1"/>
  </r>
  <r>
    <x v="82"/>
    <s v="ORD9424"/>
    <x v="2"/>
    <x v="2"/>
    <x v="1"/>
    <n v="46062"/>
    <n v="6909.3"/>
    <n v="3"/>
  </r>
  <r>
    <x v="83"/>
    <s v="ORD3091"/>
    <x v="0"/>
    <x v="0"/>
    <x v="2"/>
    <n v="32568"/>
    <n v="4885.2"/>
    <n v="3"/>
  </r>
  <r>
    <x v="84"/>
    <s v="ORD4993"/>
    <x v="1"/>
    <x v="1"/>
    <x v="3"/>
    <n v="39423"/>
    <n v="5913.45"/>
    <n v="5"/>
  </r>
  <r>
    <x v="68"/>
    <s v="ORD5678"/>
    <x v="0"/>
    <x v="0"/>
    <x v="0"/>
    <n v="54103"/>
    <n v="8115.45"/>
    <n v="2"/>
  </r>
  <r>
    <x v="85"/>
    <s v="ORD3241"/>
    <x v="3"/>
    <x v="0"/>
    <x v="2"/>
    <n v="47190"/>
    <n v="7078.5"/>
    <n v="5"/>
  </r>
  <r>
    <x v="86"/>
    <s v="ORD1230"/>
    <x v="4"/>
    <x v="2"/>
    <x v="2"/>
    <n v="26700"/>
    <n v="4005"/>
    <n v="2"/>
  </r>
  <r>
    <x v="87"/>
    <s v="ORD8066"/>
    <x v="5"/>
    <x v="1"/>
    <x v="1"/>
    <n v="18682"/>
    <n v="2802.2999999999997"/>
    <n v="3"/>
  </r>
  <r>
    <x v="88"/>
    <s v="ORD8940"/>
    <x v="3"/>
    <x v="0"/>
    <x v="0"/>
    <n v="3715"/>
    <n v="557.25"/>
    <n v="5"/>
  </r>
  <r>
    <x v="89"/>
    <s v="ORD4647"/>
    <x v="0"/>
    <x v="0"/>
    <x v="3"/>
    <n v="36357"/>
    <n v="5453.55"/>
    <n v="5"/>
  </r>
  <r>
    <x v="16"/>
    <s v="ORD9678"/>
    <x v="4"/>
    <x v="2"/>
    <x v="0"/>
    <n v="61193"/>
    <n v="9178.9499999999989"/>
    <n v="1"/>
  </r>
  <r>
    <x v="90"/>
    <s v="ORD9029"/>
    <x v="0"/>
    <x v="0"/>
    <x v="2"/>
    <n v="34571"/>
    <n v="5185.6499999999996"/>
    <n v="3"/>
  </r>
  <r>
    <x v="91"/>
    <s v="ORD8281"/>
    <x v="3"/>
    <x v="0"/>
    <x v="0"/>
    <n v="44839"/>
    <n v="6725.8499999999995"/>
    <n v="5"/>
  </r>
  <r>
    <x v="92"/>
    <s v="ORD7703"/>
    <x v="4"/>
    <x v="2"/>
    <x v="2"/>
    <n v="36292"/>
    <n v="5443.8"/>
    <n v="1"/>
  </r>
  <r>
    <x v="27"/>
    <s v="ORD9104"/>
    <x v="1"/>
    <x v="1"/>
    <x v="2"/>
    <n v="24612"/>
    <n v="3691.7999999999997"/>
    <n v="4"/>
  </r>
  <r>
    <x v="93"/>
    <s v="ORD5557"/>
    <x v="0"/>
    <x v="0"/>
    <x v="0"/>
    <n v="45596"/>
    <n v="6839.4"/>
    <n v="3"/>
  </r>
  <r>
    <x v="94"/>
    <s v="ORD5409"/>
    <x v="0"/>
    <x v="0"/>
    <x v="1"/>
    <n v="16790"/>
    <n v="2518.5"/>
    <n v="5"/>
  </r>
  <r>
    <x v="73"/>
    <s v="ORD3983"/>
    <x v="3"/>
    <x v="0"/>
    <x v="1"/>
    <n v="68881"/>
    <n v="10332.15"/>
    <n v="2"/>
  </r>
  <r>
    <x v="95"/>
    <s v="ORD6571"/>
    <x v="3"/>
    <x v="0"/>
    <x v="3"/>
    <n v="43907"/>
    <n v="6586.05"/>
    <n v="1"/>
  </r>
  <r>
    <x v="96"/>
    <s v="ORD9665"/>
    <x v="4"/>
    <x v="2"/>
    <x v="3"/>
    <n v="33705"/>
    <n v="5055.75"/>
    <n v="2"/>
  </r>
  <r>
    <x v="21"/>
    <s v="ORD8019"/>
    <x v="2"/>
    <x v="2"/>
    <x v="3"/>
    <n v="54387"/>
    <n v="8158.0499999999993"/>
    <n v="2"/>
  </r>
  <r>
    <x v="25"/>
    <s v="ORD6950"/>
    <x v="4"/>
    <x v="2"/>
    <x v="0"/>
    <n v="2637"/>
    <n v="395.55"/>
    <n v="2"/>
  </r>
  <r>
    <x v="49"/>
    <s v="ORD4047"/>
    <x v="3"/>
    <x v="0"/>
    <x v="3"/>
    <n v="73261"/>
    <n v="10989.15"/>
    <n v="5"/>
  </r>
  <r>
    <x v="38"/>
    <s v="ORD6567"/>
    <x v="3"/>
    <x v="0"/>
    <x v="3"/>
    <n v="30333"/>
    <n v="4549.95"/>
    <n v="2"/>
  </r>
  <r>
    <x v="97"/>
    <s v="ORD3075"/>
    <x v="0"/>
    <x v="0"/>
    <x v="2"/>
    <n v="23810"/>
    <n v="3571.5"/>
    <n v="5"/>
  </r>
  <r>
    <x v="21"/>
    <s v="ORD2667"/>
    <x v="4"/>
    <x v="2"/>
    <x v="3"/>
    <n v="50981"/>
    <n v="7647.15"/>
    <n v="4"/>
  </r>
  <r>
    <x v="98"/>
    <s v="ORD2969"/>
    <x v="0"/>
    <x v="0"/>
    <x v="2"/>
    <n v="8225"/>
    <n v="1233.75"/>
    <n v="2"/>
  </r>
  <r>
    <x v="99"/>
    <s v="ORD6480"/>
    <x v="4"/>
    <x v="2"/>
    <x v="2"/>
    <n v="37115"/>
    <n v="5567.25"/>
    <n v="1"/>
  </r>
  <r>
    <x v="100"/>
    <s v="ORD4410"/>
    <x v="2"/>
    <x v="2"/>
    <x v="1"/>
    <n v="33840"/>
    <n v="5076"/>
    <n v="2"/>
  </r>
  <r>
    <x v="101"/>
    <s v="ORD8786"/>
    <x v="3"/>
    <x v="0"/>
    <x v="3"/>
    <n v="12361"/>
    <n v="1854.1499999999999"/>
    <n v="5"/>
  </r>
  <r>
    <x v="23"/>
    <s v="ORD4663"/>
    <x v="3"/>
    <x v="0"/>
    <x v="0"/>
    <n v="53775"/>
    <n v="8066.25"/>
    <n v="5"/>
  </r>
  <r>
    <x v="102"/>
    <s v="ORD3543"/>
    <x v="0"/>
    <x v="0"/>
    <x v="0"/>
    <n v="56484"/>
    <n v="8472.6"/>
    <n v="2"/>
  </r>
  <r>
    <x v="79"/>
    <s v="ORD7151"/>
    <x v="1"/>
    <x v="1"/>
    <x v="0"/>
    <n v="8752"/>
    <n v="1312.8"/>
    <n v="4"/>
  </r>
  <r>
    <x v="20"/>
    <s v="ORD3116"/>
    <x v="5"/>
    <x v="1"/>
    <x v="1"/>
    <n v="74700"/>
    <n v="11205"/>
    <n v="2"/>
  </r>
  <r>
    <x v="103"/>
    <s v="ORD7426"/>
    <x v="5"/>
    <x v="1"/>
    <x v="2"/>
    <n v="77494"/>
    <n v="11624.1"/>
    <n v="2"/>
  </r>
  <r>
    <x v="104"/>
    <s v="ORD7794"/>
    <x v="3"/>
    <x v="0"/>
    <x v="0"/>
    <n v="4494"/>
    <n v="674.1"/>
    <n v="4"/>
  </r>
  <r>
    <x v="105"/>
    <s v="ORD8255"/>
    <x v="1"/>
    <x v="1"/>
    <x v="3"/>
    <n v="7986"/>
    <n v="1197.8999999999999"/>
    <n v="3"/>
  </r>
  <r>
    <x v="49"/>
    <s v="ORD1938"/>
    <x v="2"/>
    <x v="2"/>
    <x v="0"/>
    <n v="28757"/>
    <n v="4313.55"/>
    <n v="4"/>
  </r>
  <r>
    <x v="106"/>
    <s v="ORD4074"/>
    <x v="4"/>
    <x v="2"/>
    <x v="0"/>
    <n v="17913"/>
    <n v="2686.95"/>
    <n v="3"/>
  </r>
  <r>
    <x v="107"/>
    <s v="ORD5597"/>
    <x v="0"/>
    <x v="0"/>
    <x v="2"/>
    <n v="45616"/>
    <n v="6842.4"/>
    <n v="4"/>
  </r>
  <r>
    <x v="25"/>
    <s v="ORD8375"/>
    <x v="0"/>
    <x v="0"/>
    <x v="3"/>
    <n v="37502"/>
    <n v="5625.3"/>
    <n v="2"/>
  </r>
  <r>
    <x v="108"/>
    <s v="ORD6142"/>
    <x v="0"/>
    <x v="0"/>
    <x v="2"/>
    <n v="39957"/>
    <n v="5993.55"/>
    <n v="3"/>
  </r>
  <r>
    <x v="109"/>
    <s v="ORD1482"/>
    <x v="0"/>
    <x v="0"/>
    <x v="2"/>
    <n v="46351"/>
    <n v="6952.65"/>
    <n v="3"/>
  </r>
  <r>
    <x v="110"/>
    <s v="ORD3580"/>
    <x v="1"/>
    <x v="1"/>
    <x v="3"/>
    <n v="16535"/>
    <n v="2480.25"/>
    <n v="3"/>
  </r>
  <r>
    <x v="56"/>
    <s v="ORD2547"/>
    <x v="3"/>
    <x v="0"/>
    <x v="3"/>
    <n v="31800"/>
    <n v="4770"/>
    <n v="3"/>
  </r>
  <r>
    <x v="111"/>
    <s v="ORD6973"/>
    <x v="2"/>
    <x v="2"/>
    <x v="2"/>
    <n v="61320"/>
    <n v="9198"/>
    <n v="4"/>
  </r>
  <r>
    <x v="112"/>
    <s v="ORD6759"/>
    <x v="2"/>
    <x v="2"/>
    <x v="2"/>
    <n v="53758"/>
    <n v="8063.7"/>
    <n v="5"/>
  </r>
  <r>
    <x v="113"/>
    <s v="ORD3028"/>
    <x v="2"/>
    <x v="2"/>
    <x v="2"/>
    <n v="21027"/>
    <n v="3154.0499999999997"/>
    <n v="1"/>
  </r>
  <r>
    <x v="114"/>
    <s v="ORD1957"/>
    <x v="2"/>
    <x v="2"/>
    <x v="3"/>
    <n v="54858"/>
    <n v="8228.6999999999989"/>
    <n v="4"/>
  </r>
  <r>
    <x v="115"/>
    <s v="ORD2665"/>
    <x v="0"/>
    <x v="0"/>
    <x v="0"/>
    <n v="72585"/>
    <n v="10887.75"/>
    <n v="4"/>
  </r>
  <r>
    <x v="34"/>
    <s v="ORD5713"/>
    <x v="5"/>
    <x v="1"/>
    <x v="0"/>
    <n v="18626"/>
    <n v="2793.9"/>
    <n v="2"/>
  </r>
  <r>
    <x v="66"/>
    <s v="ORD4748"/>
    <x v="4"/>
    <x v="2"/>
    <x v="0"/>
    <n v="36909"/>
    <n v="5536.3499999999995"/>
    <n v="4"/>
  </r>
  <r>
    <x v="116"/>
    <s v="ORD6554"/>
    <x v="2"/>
    <x v="2"/>
    <x v="0"/>
    <n v="53932"/>
    <n v="8089.7999999999993"/>
    <n v="3"/>
  </r>
  <r>
    <x v="117"/>
    <s v="ORD6456"/>
    <x v="0"/>
    <x v="0"/>
    <x v="0"/>
    <n v="75702"/>
    <n v="11355.3"/>
    <n v="1"/>
  </r>
  <r>
    <x v="71"/>
    <s v="ORD6902"/>
    <x v="3"/>
    <x v="0"/>
    <x v="1"/>
    <n v="21820"/>
    <n v="3273"/>
    <n v="2"/>
  </r>
  <r>
    <x v="118"/>
    <s v="ORD3466"/>
    <x v="2"/>
    <x v="2"/>
    <x v="2"/>
    <n v="2905"/>
    <n v="435.75"/>
    <n v="4"/>
  </r>
  <r>
    <x v="109"/>
    <s v="ORD6177"/>
    <x v="3"/>
    <x v="0"/>
    <x v="2"/>
    <n v="1320"/>
    <n v="198"/>
    <n v="2"/>
  </r>
  <r>
    <x v="119"/>
    <s v="ORD9303"/>
    <x v="5"/>
    <x v="1"/>
    <x v="2"/>
    <n v="56613"/>
    <n v="8491.9499999999989"/>
    <n v="3"/>
  </r>
  <r>
    <x v="120"/>
    <s v="ORD2634"/>
    <x v="2"/>
    <x v="2"/>
    <x v="0"/>
    <n v="49932"/>
    <n v="7489.7999999999993"/>
    <n v="1"/>
  </r>
  <r>
    <x v="121"/>
    <s v="ORD8993"/>
    <x v="0"/>
    <x v="0"/>
    <x v="3"/>
    <n v="56894"/>
    <n v="8534.1"/>
    <n v="3"/>
  </r>
  <r>
    <x v="122"/>
    <s v="ORD5173"/>
    <x v="1"/>
    <x v="1"/>
    <x v="3"/>
    <n v="69327"/>
    <n v="10399.049999999999"/>
    <n v="4"/>
  </r>
  <r>
    <x v="123"/>
    <s v="ORD4582"/>
    <x v="3"/>
    <x v="0"/>
    <x v="3"/>
    <n v="44432"/>
    <n v="6664.8"/>
    <n v="3"/>
  </r>
  <r>
    <x v="124"/>
    <s v="ORD6301"/>
    <x v="1"/>
    <x v="1"/>
    <x v="3"/>
    <n v="7731"/>
    <n v="1159.6499999999999"/>
    <n v="4"/>
  </r>
  <r>
    <x v="58"/>
    <s v="ORD7233"/>
    <x v="1"/>
    <x v="1"/>
    <x v="0"/>
    <n v="13704"/>
    <n v="2055.6"/>
    <n v="4"/>
  </r>
  <r>
    <x v="125"/>
    <s v="ORD2553"/>
    <x v="2"/>
    <x v="2"/>
    <x v="3"/>
    <n v="59471"/>
    <n v="8920.65"/>
    <n v="1"/>
  </r>
  <r>
    <x v="126"/>
    <s v="ORD7468"/>
    <x v="2"/>
    <x v="2"/>
    <x v="0"/>
    <n v="56480"/>
    <n v="8472"/>
    <n v="1"/>
  </r>
  <r>
    <x v="114"/>
    <s v="ORD9404"/>
    <x v="3"/>
    <x v="0"/>
    <x v="2"/>
    <n v="10393"/>
    <n v="1558.95"/>
    <n v="2"/>
  </r>
  <r>
    <x v="127"/>
    <s v="ORD5779"/>
    <x v="0"/>
    <x v="0"/>
    <x v="3"/>
    <n v="48005"/>
    <n v="7200.75"/>
    <n v="1"/>
  </r>
  <r>
    <x v="128"/>
    <s v="ORD2477"/>
    <x v="3"/>
    <x v="0"/>
    <x v="0"/>
    <n v="2984"/>
    <n v="447.59999999999997"/>
    <n v="3"/>
  </r>
  <r>
    <x v="129"/>
    <s v="ORD5401"/>
    <x v="1"/>
    <x v="1"/>
    <x v="0"/>
    <n v="76635"/>
    <n v="11495.25"/>
    <n v="5"/>
  </r>
  <r>
    <x v="118"/>
    <s v="ORD1014"/>
    <x v="2"/>
    <x v="2"/>
    <x v="1"/>
    <n v="17854"/>
    <n v="2678.1"/>
    <n v="3"/>
  </r>
  <r>
    <x v="130"/>
    <s v="ORD4972"/>
    <x v="4"/>
    <x v="2"/>
    <x v="3"/>
    <n v="69006"/>
    <n v="10350.9"/>
    <n v="1"/>
  </r>
  <r>
    <x v="131"/>
    <s v="ORD9037"/>
    <x v="1"/>
    <x v="1"/>
    <x v="0"/>
    <n v="32540"/>
    <n v="4881"/>
    <n v="1"/>
  </r>
  <r>
    <x v="132"/>
    <s v="ORD7332"/>
    <x v="5"/>
    <x v="1"/>
    <x v="3"/>
    <n v="61034"/>
    <n v="9155.1"/>
    <n v="3"/>
  </r>
  <r>
    <x v="133"/>
    <s v="ORD3015"/>
    <x v="3"/>
    <x v="0"/>
    <x v="1"/>
    <n v="18873"/>
    <n v="2830.95"/>
    <n v="3"/>
  </r>
  <r>
    <x v="134"/>
    <s v="ORD9890"/>
    <x v="3"/>
    <x v="0"/>
    <x v="1"/>
    <n v="6904"/>
    <n v="1035.5999999999999"/>
    <n v="1"/>
  </r>
  <r>
    <x v="129"/>
    <s v="ORD4617"/>
    <x v="4"/>
    <x v="2"/>
    <x v="2"/>
    <n v="9013"/>
    <n v="1351.95"/>
    <n v="2"/>
  </r>
  <r>
    <x v="135"/>
    <s v="ORD6689"/>
    <x v="5"/>
    <x v="1"/>
    <x v="0"/>
    <n v="75279"/>
    <n v="11291.85"/>
    <n v="3"/>
  </r>
  <r>
    <x v="136"/>
    <s v="ORD3938"/>
    <x v="3"/>
    <x v="0"/>
    <x v="1"/>
    <n v="24812"/>
    <n v="3721.7999999999997"/>
    <n v="3"/>
  </r>
  <r>
    <x v="137"/>
    <s v="ORD7589"/>
    <x v="5"/>
    <x v="1"/>
    <x v="1"/>
    <n v="8446"/>
    <n v="1266.8999999999999"/>
    <n v="3"/>
  </r>
  <r>
    <x v="121"/>
    <s v="ORD8098"/>
    <x v="1"/>
    <x v="1"/>
    <x v="1"/>
    <n v="74415"/>
    <n v="11162.25"/>
    <n v="1"/>
  </r>
  <r>
    <x v="138"/>
    <s v="ORD6031"/>
    <x v="0"/>
    <x v="0"/>
    <x v="1"/>
    <n v="25049"/>
    <n v="3757.35"/>
    <n v="5"/>
  </r>
  <r>
    <x v="139"/>
    <s v="ORD1198"/>
    <x v="5"/>
    <x v="1"/>
    <x v="0"/>
    <n v="58287"/>
    <n v="8743.0499999999993"/>
    <n v="2"/>
  </r>
  <r>
    <x v="140"/>
    <s v="ORD7425"/>
    <x v="1"/>
    <x v="1"/>
    <x v="1"/>
    <n v="31653"/>
    <n v="4747.95"/>
    <n v="4"/>
  </r>
  <r>
    <x v="137"/>
    <s v="ORD1747"/>
    <x v="5"/>
    <x v="1"/>
    <x v="3"/>
    <n v="68709"/>
    <n v="10306.35"/>
    <n v="3"/>
  </r>
  <r>
    <x v="66"/>
    <s v="ORD7871"/>
    <x v="4"/>
    <x v="2"/>
    <x v="0"/>
    <n v="63078"/>
    <n v="9461.6999999999989"/>
    <n v="2"/>
  </r>
  <r>
    <x v="141"/>
    <s v="ORD4430"/>
    <x v="3"/>
    <x v="0"/>
    <x v="0"/>
    <n v="54538"/>
    <n v="8180.7"/>
    <n v="2"/>
  </r>
  <r>
    <x v="20"/>
    <s v="ORD3201"/>
    <x v="0"/>
    <x v="0"/>
    <x v="3"/>
    <n v="71222"/>
    <n v="10683.3"/>
    <n v="3"/>
  </r>
  <r>
    <x v="90"/>
    <s v="ORD7719"/>
    <x v="5"/>
    <x v="1"/>
    <x v="0"/>
    <n v="15910"/>
    <n v="2386.5"/>
    <n v="1"/>
  </r>
  <r>
    <x v="85"/>
    <s v="ORD9853"/>
    <x v="4"/>
    <x v="2"/>
    <x v="3"/>
    <n v="79708"/>
    <n v="11956.199999999999"/>
    <n v="2"/>
  </r>
  <r>
    <x v="22"/>
    <s v="ORD8168"/>
    <x v="5"/>
    <x v="1"/>
    <x v="3"/>
    <n v="25070"/>
    <n v="3760.5"/>
    <n v="4"/>
  </r>
  <r>
    <x v="142"/>
    <s v="ORD4347"/>
    <x v="5"/>
    <x v="1"/>
    <x v="3"/>
    <n v="26560"/>
    <n v="3984"/>
    <n v="1"/>
  </r>
  <r>
    <x v="85"/>
    <s v="ORD1149"/>
    <x v="4"/>
    <x v="2"/>
    <x v="0"/>
    <n v="67416"/>
    <n v="10112.4"/>
    <n v="2"/>
  </r>
  <r>
    <x v="143"/>
    <s v="ORD9733"/>
    <x v="4"/>
    <x v="2"/>
    <x v="2"/>
    <n v="63533"/>
    <n v="9529.9499999999989"/>
    <n v="1"/>
  </r>
  <r>
    <x v="111"/>
    <s v="ORD6991"/>
    <x v="0"/>
    <x v="0"/>
    <x v="2"/>
    <n v="59055"/>
    <n v="8858.25"/>
    <n v="4"/>
  </r>
  <r>
    <x v="112"/>
    <s v="ORD1512"/>
    <x v="4"/>
    <x v="2"/>
    <x v="2"/>
    <n v="12083"/>
    <n v="1812.45"/>
    <n v="5"/>
  </r>
  <r>
    <x v="144"/>
    <s v="ORD9801"/>
    <x v="2"/>
    <x v="2"/>
    <x v="1"/>
    <n v="1342"/>
    <n v="201.29999999999998"/>
    <n v="5"/>
  </r>
  <r>
    <x v="145"/>
    <s v="ORD7215"/>
    <x v="3"/>
    <x v="0"/>
    <x v="1"/>
    <n v="26152"/>
    <n v="3922.7999999999997"/>
    <n v="3"/>
  </r>
  <r>
    <x v="39"/>
    <s v="ORD1245"/>
    <x v="0"/>
    <x v="0"/>
    <x v="0"/>
    <n v="74537"/>
    <n v="11180.55"/>
    <n v="2"/>
  </r>
  <r>
    <x v="146"/>
    <s v="ORD2462"/>
    <x v="5"/>
    <x v="1"/>
    <x v="1"/>
    <n v="20861"/>
    <n v="3129.15"/>
    <n v="3"/>
  </r>
  <r>
    <x v="147"/>
    <s v="ORD2036"/>
    <x v="4"/>
    <x v="2"/>
    <x v="1"/>
    <n v="67514"/>
    <n v="10127.1"/>
    <n v="2"/>
  </r>
  <r>
    <x v="126"/>
    <s v="ORD1627"/>
    <x v="2"/>
    <x v="2"/>
    <x v="2"/>
    <n v="14628"/>
    <n v="2194.1999999999998"/>
    <n v="4"/>
  </r>
  <r>
    <x v="92"/>
    <s v="ORD4387"/>
    <x v="1"/>
    <x v="1"/>
    <x v="2"/>
    <n v="77816"/>
    <n v="11672.4"/>
    <n v="3"/>
  </r>
  <r>
    <x v="148"/>
    <s v="ORD5232"/>
    <x v="3"/>
    <x v="0"/>
    <x v="2"/>
    <n v="72911"/>
    <n v="10936.65"/>
    <n v="3"/>
  </r>
  <r>
    <x v="149"/>
    <s v="ORD6037"/>
    <x v="3"/>
    <x v="0"/>
    <x v="2"/>
    <n v="27782"/>
    <n v="4167.3"/>
    <n v="3"/>
  </r>
  <r>
    <x v="150"/>
    <s v="ORD6599"/>
    <x v="4"/>
    <x v="2"/>
    <x v="0"/>
    <n v="44905"/>
    <n v="6735.75"/>
    <n v="1"/>
  </r>
  <r>
    <x v="151"/>
    <s v="ORD5316"/>
    <x v="1"/>
    <x v="1"/>
    <x v="0"/>
    <n v="72121"/>
    <n v="10818.15"/>
    <n v="5"/>
  </r>
  <r>
    <x v="152"/>
    <s v="ORD2409"/>
    <x v="1"/>
    <x v="1"/>
    <x v="3"/>
    <n v="32780"/>
    <n v="4917"/>
    <n v="4"/>
  </r>
  <r>
    <x v="58"/>
    <s v="ORD3174"/>
    <x v="1"/>
    <x v="1"/>
    <x v="2"/>
    <n v="19595"/>
    <n v="2939.25"/>
    <n v="2"/>
  </r>
  <r>
    <x v="153"/>
    <s v="ORD9455"/>
    <x v="5"/>
    <x v="1"/>
    <x v="3"/>
    <n v="72780"/>
    <n v="10917"/>
    <n v="4"/>
  </r>
  <r>
    <x v="154"/>
    <s v="ORD2211"/>
    <x v="0"/>
    <x v="0"/>
    <x v="1"/>
    <n v="50810"/>
    <n v="7621.5"/>
    <n v="1"/>
  </r>
  <r>
    <x v="155"/>
    <s v="ORD1792"/>
    <x v="3"/>
    <x v="0"/>
    <x v="1"/>
    <n v="26446"/>
    <n v="3966.8999999999996"/>
    <n v="4"/>
  </r>
  <r>
    <x v="156"/>
    <s v="ORD7554"/>
    <x v="0"/>
    <x v="0"/>
    <x v="2"/>
    <n v="75138"/>
    <n v="11270.699999999999"/>
    <n v="5"/>
  </r>
  <r>
    <x v="157"/>
    <s v="ORD8859"/>
    <x v="1"/>
    <x v="1"/>
    <x v="2"/>
    <n v="63994"/>
    <n v="9599.1"/>
    <n v="4"/>
  </r>
  <r>
    <x v="2"/>
    <s v="ORD3929"/>
    <x v="4"/>
    <x v="2"/>
    <x v="0"/>
    <n v="23379"/>
    <n v="3506.85"/>
    <n v="2"/>
  </r>
  <r>
    <x v="150"/>
    <s v="ORD6557"/>
    <x v="5"/>
    <x v="1"/>
    <x v="2"/>
    <n v="69855"/>
    <n v="10478.25"/>
    <n v="3"/>
  </r>
  <r>
    <x v="158"/>
    <s v="ORD1572"/>
    <x v="2"/>
    <x v="2"/>
    <x v="2"/>
    <n v="9266"/>
    <n v="1389.8999999999999"/>
    <n v="1"/>
  </r>
  <r>
    <x v="104"/>
    <s v="ORD4826"/>
    <x v="1"/>
    <x v="1"/>
    <x v="2"/>
    <n v="10778"/>
    <n v="1616.7"/>
    <n v="2"/>
  </r>
  <r>
    <x v="159"/>
    <s v="ORD2764"/>
    <x v="4"/>
    <x v="2"/>
    <x v="0"/>
    <n v="49957"/>
    <n v="7493.5499999999993"/>
    <n v="2"/>
  </r>
  <r>
    <x v="114"/>
    <s v="ORD2582"/>
    <x v="3"/>
    <x v="0"/>
    <x v="2"/>
    <n v="45401"/>
    <n v="6810.15"/>
    <n v="2"/>
  </r>
  <r>
    <x v="160"/>
    <s v="ORD6066"/>
    <x v="2"/>
    <x v="2"/>
    <x v="2"/>
    <n v="61649"/>
    <n v="9247.35"/>
    <n v="3"/>
  </r>
  <r>
    <x v="161"/>
    <s v="ORD6277"/>
    <x v="4"/>
    <x v="2"/>
    <x v="2"/>
    <n v="51243"/>
    <n v="7686.45"/>
    <n v="5"/>
  </r>
  <r>
    <x v="41"/>
    <s v="ORD9545"/>
    <x v="0"/>
    <x v="0"/>
    <x v="1"/>
    <n v="5567"/>
    <n v="835.05"/>
    <n v="4"/>
  </r>
  <r>
    <x v="53"/>
    <s v="ORD3018"/>
    <x v="1"/>
    <x v="1"/>
    <x v="2"/>
    <n v="73561"/>
    <n v="11034.15"/>
    <n v="4"/>
  </r>
  <r>
    <x v="50"/>
    <s v="ORD9687"/>
    <x v="1"/>
    <x v="1"/>
    <x v="1"/>
    <n v="38609"/>
    <n v="5791.3499999999995"/>
    <n v="2"/>
  </r>
  <r>
    <x v="96"/>
    <s v="ORD3622"/>
    <x v="2"/>
    <x v="2"/>
    <x v="1"/>
    <n v="9967"/>
    <n v="1495.05"/>
    <n v="1"/>
  </r>
  <r>
    <x v="35"/>
    <s v="ORD9744"/>
    <x v="5"/>
    <x v="1"/>
    <x v="0"/>
    <n v="75174"/>
    <n v="11276.1"/>
    <n v="1"/>
  </r>
  <r>
    <x v="162"/>
    <s v="ORD6905"/>
    <x v="4"/>
    <x v="2"/>
    <x v="0"/>
    <n v="2205"/>
    <n v="330.75"/>
    <n v="1"/>
  </r>
  <r>
    <x v="21"/>
    <s v="ORD8756"/>
    <x v="5"/>
    <x v="1"/>
    <x v="1"/>
    <n v="32983"/>
    <n v="4947.45"/>
    <n v="2"/>
  </r>
  <r>
    <x v="163"/>
    <s v="ORD5576"/>
    <x v="2"/>
    <x v="2"/>
    <x v="2"/>
    <n v="36308"/>
    <n v="5446.2"/>
    <n v="5"/>
  </r>
  <r>
    <x v="164"/>
    <s v="ORD5295"/>
    <x v="5"/>
    <x v="1"/>
    <x v="1"/>
    <n v="61000"/>
    <n v="9150"/>
    <n v="4"/>
  </r>
  <r>
    <x v="165"/>
    <s v="ORD6344"/>
    <x v="0"/>
    <x v="0"/>
    <x v="0"/>
    <n v="9579"/>
    <n v="1436.85"/>
    <n v="3"/>
  </r>
  <r>
    <x v="166"/>
    <s v="ORD6012"/>
    <x v="4"/>
    <x v="2"/>
    <x v="0"/>
    <n v="62162"/>
    <n v="9324.2999999999993"/>
    <n v="2"/>
  </r>
  <r>
    <x v="167"/>
    <s v="ORD7335"/>
    <x v="2"/>
    <x v="2"/>
    <x v="2"/>
    <n v="44265"/>
    <n v="6639.75"/>
    <n v="5"/>
  </r>
  <r>
    <x v="168"/>
    <s v="ORD8780"/>
    <x v="5"/>
    <x v="1"/>
    <x v="3"/>
    <n v="62307"/>
    <n v="9346.0499999999993"/>
    <n v="4"/>
  </r>
  <r>
    <x v="169"/>
    <s v="ORD9264"/>
    <x v="1"/>
    <x v="1"/>
    <x v="2"/>
    <n v="76107"/>
    <n v="11416.05"/>
    <n v="4"/>
  </r>
  <r>
    <x v="42"/>
    <s v="ORD8188"/>
    <x v="0"/>
    <x v="0"/>
    <x v="0"/>
    <n v="68401"/>
    <n v="10260.15"/>
    <n v="2"/>
  </r>
  <r>
    <x v="170"/>
    <s v="ORD7730"/>
    <x v="4"/>
    <x v="2"/>
    <x v="3"/>
    <n v="2337"/>
    <n v="350.55"/>
    <n v="2"/>
  </r>
  <r>
    <x v="79"/>
    <s v="ORD8968"/>
    <x v="5"/>
    <x v="1"/>
    <x v="3"/>
    <n v="75164"/>
    <n v="11274.6"/>
    <n v="4"/>
  </r>
  <r>
    <x v="171"/>
    <s v="ORD1872"/>
    <x v="3"/>
    <x v="0"/>
    <x v="3"/>
    <n v="3143"/>
    <n v="471.45"/>
    <n v="1"/>
  </r>
  <r>
    <x v="172"/>
    <s v="ORD9322"/>
    <x v="1"/>
    <x v="1"/>
    <x v="2"/>
    <n v="71672"/>
    <n v="10750.8"/>
    <n v="3"/>
  </r>
  <r>
    <x v="62"/>
    <s v="ORD7423"/>
    <x v="3"/>
    <x v="0"/>
    <x v="1"/>
    <n v="14155"/>
    <n v="2123.25"/>
    <n v="4"/>
  </r>
  <r>
    <x v="123"/>
    <s v="ORD7799"/>
    <x v="4"/>
    <x v="2"/>
    <x v="0"/>
    <n v="5229"/>
    <n v="784.35"/>
    <n v="5"/>
  </r>
  <r>
    <x v="24"/>
    <s v="ORD8373"/>
    <x v="4"/>
    <x v="2"/>
    <x v="2"/>
    <n v="18033"/>
    <n v="2704.95"/>
    <n v="4"/>
  </r>
  <r>
    <x v="152"/>
    <s v="ORD3417"/>
    <x v="4"/>
    <x v="2"/>
    <x v="2"/>
    <n v="30326"/>
    <n v="4548.8999999999996"/>
    <n v="1"/>
  </r>
  <r>
    <x v="104"/>
    <s v="ORD3006"/>
    <x v="5"/>
    <x v="1"/>
    <x v="2"/>
    <n v="34612"/>
    <n v="5191.8"/>
    <n v="5"/>
  </r>
  <r>
    <x v="72"/>
    <s v="ORD6095"/>
    <x v="4"/>
    <x v="2"/>
    <x v="2"/>
    <n v="7223"/>
    <n v="1083.45"/>
    <n v="5"/>
  </r>
  <r>
    <x v="166"/>
    <s v="ORD2169"/>
    <x v="4"/>
    <x v="2"/>
    <x v="0"/>
    <n v="34809"/>
    <n v="5221.3499999999995"/>
    <n v="5"/>
  </r>
  <r>
    <x v="173"/>
    <s v="ORD7024"/>
    <x v="1"/>
    <x v="1"/>
    <x v="3"/>
    <n v="1709"/>
    <n v="256.34999999999997"/>
    <n v="3"/>
  </r>
  <r>
    <x v="174"/>
    <s v="ORD1254"/>
    <x v="4"/>
    <x v="2"/>
    <x v="2"/>
    <n v="49037"/>
    <n v="7355.55"/>
    <n v="3"/>
  </r>
  <r>
    <x v="175"/>
    <s v="ORD3558"/>
    <x v="5"/>
    <x v="1"/>
    <x v="1"/>
    <n v="54345"/>
    <n v="8151.75"/>
    <n v="3"/>
  </r>
  <r>
    <x v="58"/>
    <s v="ORD6101"/>
    <x v="4"/>
    <x v="2"/>
    <x v="3"/>
    <n v="17510"/>
    <n v="2626.5"/>
    <n v="2"/>
  </r>
  <r>
    <x v="1"/>
    <s v="ORD8793"/>
    <x v="0"/>
    <x v="0"/>
    <x v="1"/>
    <n v="69016"/>
    <n v="10352.4"/>
    <n v="3"/>
  </r>
  <r>
    <x v="176"/>
    <s v="ORD3262"/>
    <x v="4"/>
    <x v="2"/>
    <x v="2"/>
    <n v="11499"/>
    <n v="1724.85"/>
    <n v="1"/>
  </r>
  <r>
    <x v="73"/>
    <s v="ORD9175"/>
    <x v="2"/>
    <x v="2"/>
    <x v="3"/>
    <n v="44082"/>
    <n v="6612.3"/>
    <n v="4"/>
  </r>
  <r>
    <x v="177"/>
    <s v="ORD6970"/>
    <x v="3"/>
    <x v="0"/>
    <x v="1"/>
    <n v="4681"/>
    <n v="702.15"/>
    <n v="1"/>
  </r>
  <r>
    <x v="178"/>
    <s v="ORD2875"/>
    <x v="0"/>
    <x v="0"/>
    <x v="2"/>
    <n v="79911"/>
    <n v="11986.65"/>
    <n v="4"/>
  </r>
  <r>
    <x v="102"/>
    <s v="ORD2690"/>
    <x v="1"/>
    <x v="1"/>
    <x v="2"/>
    <n v="75434"/>
    <n v="11315.1"/>
    <n v="2"/>
  </r>
  <r>
    <x v="179"/>
    <s v="ORD7199"/>
    <x v="5"/>
    <x v="1"/>
    <x v="0"/>
    <n v="11240"/>
    <n v="1686"/>
    <n v="1"/>
  </r>
  <r>
    <x v="180"/>
    <s v="ORD2416"/>
    <x v="0"/>
    <x v="0"/>
    <x v="0"/>
    <n v="68810"/>
    <n v="10321.5"/>
    <n v="2"/>
  </r>
  <r>
    <x v="181"/>
    <s v="ORD8921"/>
    <x v="0"/>
    <x v="0"/>
    <x v="2"/>
    <n v="24076"/>
    <n v="3611.4"/>
    <n v="4"/>
  </r>
  <r>
    <x v="4"/>
    <s v="ORD2437"/>
    <x v="2"/>
    <x v="2"/>
    <x v="0"/>
    <n v="36831"/>
    <n v="5524.65"/>
    <n v="1"/>
  </r>
  <r>
    <x v="182"/>
    <s v="ORD1053"/>
    <x v="2"/>
    <x v="2"/>
    <x v="2"/>
    <n v="4896"/>
    <n v="734.4"/>
    <n v="1"/>
  </r>
  <r>
    <x v="161"/>
    <s v="ORD8144"/>
    <x v="2"/>
    <x v="2"/>
    <x v="0"/>
    <n v="5103"/>
    <n v="765.44999999999993"/>
    <n v="4"/>
  </r>
  <r>
    <x v="183"/>
    <s v="ORD4631"/>
    <x v="2"/>
    <x v="2"/>
    <x v="2"/>
    <n v="14184"/>
    <n v="2127.6"/>
    <n v="2"/>
  </r>
  <r>
    <x v="184"/>
    <s v="ORD3191"/>
    <x v="2"/>
    <x v="2"/>
    <x v="2"/>
    <n v="12139"/>
    <n v="1820.85"/>
    <n v="5"/>
  </r>
  <r>
    <x v="145"/>
    <s v="ORD1788"/>
    <x v="4"/>
    <x v="2"/>
    <x v="2"/>
    <n v="16738"/>
    <n v="2510.6999999999998"/>
    <n v="1"/>
  </r>
  <r>
    <x v="80"/>
    <s v="ORD6702"/>
    <x v="3"/>
    <x v="0"/>
    <x v="1"/>
    <n v="42169"/>
    <n v="6325.3499999999995"/>
    <n v="3"/>
  </r>
  <r>
    <x v="185"/>
    <s v="ORD2561"/>
    <x v="1"/>
    <x v="1"/>
    <x v="0"/>
    <n v="35255"/>
    <n v="5288.25"/>
    <n v="4"/>
  </r>
  <r>
    <x v="76"/>
    <s v="ORD7252"/>
    <x v="2"/>
    <x v="2"/>
    <x v="1"/>
    <n v="27863"/>
    <n v="4179.45"/>
    <n v="3"/>
  </r>
  <r>
    <x v="0"/>
    <s v="ORD5709"/>
    <x v="1"/>
    <x v="1"/>
    <x v="0"/>
    <n v="5692"/>
    <n v="853.8"/>
    <n v="3"/>
  </r>
  <r>
    <x v="150"/>
    <s v="ORD9992"/>
    <x v="3"/>
    <x v="0"/>
    <x v="0"/>
    <n v="22200"/>
    <n v="3330"/>
    <n v="5"/>
  </r>
  <r>
    <x v="36"/>
    <s v="ORD6478"/>
    <x v="4"/>
    <x v="2"/>
    <x v="1"/>
    <n v="36277"/>
    <n v="5441.55"/>
    <n v="3"/>
  </r>
  <r>
    <x v="126"/>
    <s v="ORD3272"/>
    <x v="4"/>
    <x v="2"/>
    <x v="1"/>
    <n v="26658"/>
    <n v="3998.7"/>
    <n v="3"/>
  </r>
  <r>
    <x v="142"/>
    <s v="ORD9220"/>
    <x v="1"/>
    <x v="1"/>
    <x v="3"/>
    <n v="34411"/>
    <n v="5161.6499999999996"/>
    <n v="1"/>
  </r>
  <r>
    <x v="16"/>
    <s v="ORD2350"/>
    <x v="1"/>
    <x v="1"/>
    <x v="3"/>
    <n v="35763"/>
    <n v="5364.45"/>
    <n v="5"/>
  </r>
  <r>
    <x v="87"/>
    <s v="ORD7034"/>
    <x v="4"/>
    <x v="2"/>
    <x v="3"/>
    <n v="43844"/>
    <n v="6576.5999999999995"/>
    <n v="3"/>
  </r>
  <r>
    <x v="186"/>
    <s v="ORD5410"/>
    <x v="3"/>
    <x v="0"/>
    <x v="1"/>
    <n v="25600"/>
    <n v="3840"/>
    <n v="3"/>
  </r>
  <r>
    <x v="78"/>
    <s v="ORD8127"/>
    <x v="5"/>
    <x v="1"/>
    <x v="0"/>
    <n v="6670"/>
    <n v="1000.5"/>
    <n v="5"/>
  </r>
  <r>
    <x v="96"/>
    <s v="ORD7868"/>
    <x v="2"/>
    <x v="2"/>
    <x v="1"/>
    <n v="28820"/>
    <n v="4323"/>
    <n v="4"/>
  </r>
  <r>
    <x v="187"/>
    <s v="ORD2916"/>
    <x v="1"/>
    <x v="1"/>
    <x v="3"/>
    <n v="6122"/>
    <n v="918.3"/>
    <n v="1"/>
  </r>
  <r>
    <x v="106"/>
    <s v="ORD9983"/>
    <x v="2"/>
    <x v="2"/>
    <x v="3"/>
    <n v="25400"/>
    <n v="3810"/>
    <n v="2"/>
  </r>
  <r>
    <x v="59"/>
    <s v="ORD1790"/>
    <x v="0"/>
    <x v="0"/>
    <x v="0"/>
    <n v="20109"/>
    <n v="3016.35"/>
    <n v="5"/>
  </r>
  <r>
    <x v="68"/>
    <s v="ORD2286"/>
    <x v="2"/>
    <x v="2"/>
    <x v="0"/>
    <n v="47558"/>
    <n v="7133.7"/>
    <n v="4"/>
  </r>
  <r>
    <x v="188"/>
    <s v="ORD6064"/>
    <x v="3"/>
    <x v="0"/>
    <x v="2"/>
    <n v="68039"/>
    <n v="10205.85"/>
    <n v="1"/>
  </r>
  <r>
    <x v="189"/>
    <s v="ORD6874"/>
    <x v="0"/>
    <x v="0"/>
    <x v="1"/>
    <n v="78161"/>
    <n v="11724.15"/>
    <n v="3"/>
  </r>
  <r>
    <x v="111"/>
    <s v="ORD9379"/>
    <x v="1"/>
    <x v="1"/>
    <x v="2"/>
    <n v="79287"/>
    <n v="11893.05"/>
    <n v="4"/>
  </r>
  <r>
    <x v="190"/>
    <s v="ORD5915"/>
    <x v="3"/>
    <x v="0"/>
    <x v="2"/>
    <n v="24453"/>
    <n v="3667.95"/>
    <n v="2"/>
  </r>
  <r>
    <x v="114"/>
    <s v="ORD4628"/>
    <x v="0"/>
    <x v="0"/>
    <x v="0"/>
    <n v="45549"/>
    <n v="6832.3499999999995"/>
    <n v="2"/>
  </r>
  <r>
    <x v="191"/>
    <s v="ORD3111"/>
    <x v="5"/>
    <x v="1"/>
    <x v="1"/>
    <n v="15857"/>
    <n v="2378.5499999999997"/>
    <n v="2"/>
  </r>
  <r>
    <x v="123"/>
    <s v="ORD4976"/>
    <x v="2"/>
    <x v="2"/>
    <x v="3"/>
    <n v="23325"/>
    <n v="3498.75"/>
    <n v="1"/>
  </r>
  <r>
    <x v="192"/>
    <s v="ORD5152"/>
    <x v="2"/>
    <x v="2"/>
    <x v="2"/>
    <n v="74441"/>
    <n v="11166.15"/>
    <n v="1"/>
  </r>
  <r>
    <x v="193"/>
    <s v="ORD6765"/>
    <x v="0"/>
    <x v="0"/>
    <x v="2"/>
    <n v="11497"/>
    <n v="1724.55"/>
    <n v="1"/>
  </r>
  <r>
    <x v="119"/>
    <s v="ORD6921"/>
    <x v="4"/>
    <x v="2"/>
    <x v="3"/>
    <n v="38675"/>
    <n v="5801.25"/>
    <n v="1"/>
  </r>
  <r>
    <x v="70"/>
    <s v="ORD7995"/>
    <x v="0"/>
    <x v="0"/>
    <x v="1"/>
    <n v="66179"/>
    <n v="9926.85"/>
    <n v="2"/>
  </r>
  <r>
    <x v="194"/>
    <s v="ORD5333"/>
    <x v="3"/>
    <x v="0"/>
    <x v="0"/>
    <n v="74286"/>
    <n v="11142.9"/>
    <n v="2"/>
  </r>
  <r>
    <x v="195"/>
    <s v="ORD3760"/>
    <x v="0"/>
    <x v="0"/>
    <x v="0"/>
    <n v="4423"/>
    <n v="663.44999999999993"/>
    <n v="2"/>
  </r>
  <r>
    <x v="163"/>
    <s v="ORD2684"/>
    <x v="2"/>
    <x v="2"/>
    <x v="3"/>
    <n v="20093"/>
    <n v="3013.95"/>
    <n v="4"/>
  </r>
  <r>
    <x v="129"/>
    <s v="ORD6579"/>
    <x v="4"/>
    <x v="2"/>
    <x v="3"/>
    <n v="71977"/>
    <n v="10796.55"/>
    <n v="1"/>
  </r>
  <r>
    <x v="196"/>
    <s v="ORD2628"/>
    <x v="2"/>
    <x v="2"/>
    <x v="2"/>
    <n v="67328"/>
    <n v="10099.199999999999"/>
    <n v="2"/>
  </r>
  <r>
    <x v="141"/>
    <s v="ORD8926"/>
    <x v="2"/>
    <x v="2"/>
    <x v="3"/>
    <n v="7291"/>
    <n v="1093.6499999999999"/>
    <n v="2"/>
  </r>
  <r>
    <x v="193"/>
    <s v="ORD3901"/>
    <x v="2"/>
    <x v="2"/>
    <x v="0"/>
    <n v="38796"/>
    <n v="5819.4"/>
    <n v="5"/>
  </r>
  <r>
    <x v="13"/>
    <s v="ORD7753"/>
    <x v="3"/>
    <x v="0"/>
    <x v="3"/>
    <n v="60454"/>
    <n v="9068.1"/>
    <n v="3"/>
  </r>
  <r>
    <x v="197"/>
    <s v="ORD8490"/>
    <x v="0"/>
    <x v="0"/>
    <x v="0"/>
    <n v="30167"/>
    <n v="4525.05"/>
    <n v="3"/>
  </r>
  <r>
    <x v="108"/>
    <s v="ORD4112"/>
    <x v="1"/>
    <x v="1"/>
    <x v="1"/>
    <n v="53061"/>
    <n v="7959.15"/>
    <n v="5"/>
  </r>
  <r>
    <x v="26"/>
    <s v="ORD6610"/>
    <x v="2"/>
    <x v="2"/>
    <x v="3"/>
    <n v="79755"/>
    <n v="11963.25"/>
    <n v="2"/>
  </r>
  <r>
    <x v="133"/>
    <s v="ORD3346"/>
    <x v="2"/>
    <x v="2"/>
    <x v="1"/>
    <n v="72020"/>
    <n v="10803"/>
    <n v="4"/>
  </r>
  <r>
    <x v="198"/>
    <s v="ORD9283"/>
    <x v="4"/>
    <x v="2"/>
    <x v="0"/>
    <n v="33769"/>
    <n v="5065.3499999999995"/>
    <n v="5"/>
  </r>
  <r>
    <x v="113"/>
    <s v="ORD8783"/>
    <x v="1"/>
    <x v="1"/>
    <x v="2"/>
    <n v="10968"/>
    <n v="1645.2"/>
    <n v="1"/>
  </r>
  <r>
    <x v="199"/>
    <s v="ORD3340"/>
    <x v="5"/>
    <x v="1"/>
    <x v="1"/>
    <n v="23462"/>
    <n v="3519.2999999999997"/>
    <n v="5"/>
  </r>
  <r>
    <x v="66"/>
    <s v="ORD4810"/>
    <x v="3"/>
    <x v="0"/>
    <x v="3"/>
    <n v="53087"/>
    <n v="7963.0499999999993"/>
    <n v="1"/>
  </r>
  <r>
    <x v="10"/>
    <s v="ORD9327"/>
    <x v="5"/>
    <x v="1"/>
    <x v="0"/>
    <n v="5710"/>
    <n v="856.5"/>
    <n v="1"/>
  </r>
  <r>
    <x v="200"/>
    <s v="ORD2662"/>
    <x v="5"/>
    <x v="1"/>
    <x v="1"/>
    <n v="46072"/>
    <n v="6910.8"/>
    <n v="3"/>
  </r>
  <r>
    <x v="155"/>
    <s v="ORD3956"/>
    <x v="4"/>
    <x v="2"/>
    <x v="2"/>
    <n v="76103"/>
    <n v="11415.449999999999"/>
    <n v="5"/>
  </r>
  <r>
    <x v="68"/>
    <s v="ORD3381"/>
    <x v="4"/>
    <x v="2"/>
    <x v="1"/>
    <n v="29409"/>
    <n v="4411.3499999999995"/>
    <n v="1"/>
  </r>
  <r>
    <x v="201"/>
    <s v="ORD3451"/>
    <x v="3"/>
    <x v="0"/>
    <x v="1"/>
    <n v="37829"/>
    <n v="5674.3499999999995"/>
    <n v="5"/>
  </r>
  <r>
    <x v="73"/>
    <s v="ORD9338"/>
    <x v="3"/>
    <x v="0"/>
    <x v="0"/>
    <n v="36025"/>
    <n v="5403.75"/>
    <n v="1"/>
  </r>
  <r>
    <x v="202"/>
    <s v="ORD2857"/>
    <x v="3"/>
    <x v="0"/>
    <x v="1"/>
    <n v="33811"/>
    <n v="5071.6499999999996"/>
    <n v="1"/>
  </r>
  <r>
    <x v="203"/>
    <s v="ORD6296"/>
    <x v="2"/>
    <x v="2"/>
    <x v="1"/>
    <n v="57091"/>
    <n v="8563.65"/>
    <n v="5"/>
  </r>
  <r>
    <x v="158"/>
    <s v="ORD6960"/>
    <x v="4"/>
    <x v="2"/>
    <x v="0"/>
    <n v="41357"/>
    <n v="6203.55"/>
    <n v="4"/>
  </r>
  <r>
    <x v="16"/>
    <s v="ORD5777"/>
    <x v="3"/>
    <x v="0"/>
    <x v="3"/>
    <n v="62366"/>
    <n v="9354.9"/>
    <n v="5"/>
  </r>
  <r>
    <x v="41"/>
    <s v="ORD1828"/>
    <x v="3"/>
    <x v="0"/>
    <x v="0"/>
    <n v="8287"/>
    <n v="1243.05"/>
    <n v="5"/>
  </r>
  <r>
    <x v="204"/>
    <s v="ORD4756"/>
    <x v="3"/>
    <x v="0"/>
    <x v="0"/>
    <n v="24030"/>
    <n v="3604.5"/>
    <n v="3"/>
  </r>
  <r>
    <x v="205"/>
    <s v="ORD2064"/>
    <x v="4"/>
    <x v="2"/>
    <x v="2"/>
    <n v="17033"/>
    <n v="2554.9499999999998"/>
    <n v="4"/>
  </r>
  <r>
    <x v="52"/>
    <s v="ORD8342"/>
    <x v="5"/>
    <x v="1"/>
    <x v="0"/>
    <n v="61309"/>
    <n v="9196.35"/>
    <n v="5"/>
  </r>
  <r>
    <x v="101"/>
    <s v="ORD4798"/>
    <x v="3"/>
    <x v="0"/>
    <x v="3"/>
    <n v="30797"/>
    <n v="4619.55"/>
    <n v="5"/>
  </r>
  <r>
    <x v="163"/>
    <s v="ORD4422"/>
    <x v="4"/>
    <x v="2"/>
    <x v="3"/>
    <n v="44858"/>
    <n v="6728.7"/>
    <n v="4"/>
  </r>
  <r>
    <x v="161"/>
    <s v="ORD9593"/>
    <x v="0"/>
    <x v="0"/>
    <x v="1"/>
    <n v="45307"/>
    <n v="6796.05"/>
    <n v="4"/>
  </r>
  <r>
    <x v="45"/>
    <s v="ORD7610"/>
    <x v="3"/>
    <x v="0"/>
    <x v="1"/>
    <n v="69425"/>
    <n v="10413.75"/>
    <n v="1"/>
  </r>
  <r>
    <x v="206"/>
    <s v="ORD5781"/>
    <x v="5"/>
    <x v="1"/>
    <x v="0"/>
    <n v="8084"/>
    <n v="1212.5999999999999"/>
    <n v="4"/>
  </r>
  <r>
    <x v="137"/>
    <s v="ORD2624"/>
    <x v="3"/>
    <x v="0"/>
    <x v="1"/>
    <n v="39075"/>
    <n v="5861.25"/>
    <n v="2"/>
  </r>
  <r>
    <x v="207"/>
    <s v="ORD1074"/>
    <x v="0"/>
    <x v="0"/>
    <x v="3"/>
    <n v="57765"/>
    <n v="8664.75"/>
    <n v="1"/>
  </r>
  <r>
    <x v="134"/>
    <s v="ORD4187"/>
    <x v="3"/>
    <x v="0"/>
    <x v="0"/>
    <n v="29914"/>
    <n v="4487.0999999999995"/>
    <n v="4"/>
  </r>
  <r>
    <x v="43"/>
    <s v="ORD7724"/>
    <x v="3"/>
    <x v="0"/>
    <x v="1"/>
    <n v="67516"/>
    <n v="10127.4"/>
    <n v="1"/>
  </r>
  <r>
    <x v="193"/>
    <s v="ORD5311"/>
    <x v="4"/>
    <x v="2"/>
    <x v="2"/>
    <n v="11919"/>
    <n v="1787.85"/>
    <n v="4"/>
  </r>
  <r>
    <x v="208"/>
    <s v="ORD6737"/>
    <x v="5"/>
    <x v="1"/>
    <x v="0"/>
    <n v="77728"/>
    <n v="11659.199999999999"/>
    <n v="5"/>
  </r>
  <r>
    <x v="209"/>
    <s v="ORD5348"/>
    <x v="3"/>
    <x v="0"/>
    <x v="1"/>
    <n v="70219"/>
    <n v="10532.85"/>
    <n v="5"/>
  </r>
  <r>
    <x v="49"/>
    <s v="ORD5150"/>
    <x v="3"/>
    <x v="0"/>
    <x v="0"/>
    <n v="43739"/>
    <n v="6560.8499999999995"/>
    <n v="5"/>
  </r>
  <r>
    <x v="210"/>
    <s v="ORD7207"/>
    <x v="1"/>
    <x v="1"/>
    <x v="0"/>
    <n v="21816"/>
    <n v="3272.4"/>
    <n v="5"/>
  </r>
  <r>
    <x v="166"/>
    <s v="ORD6553"/>
    <x v="4"/>
    <x v="2"/>
    <x v="1"/>
    <n v="42886"/>
    <n v="6432.9"/>
    <n v="5"/>
  </r>
  <r>
    <x v="136"/>
    <s v="ORD6534"/>
    <x v="5"/>
    <x v="1"/>
    <x v="2"/>
    <n v="56534"/>
    <n v="8480.1"/>
    <n v="3"/>
  </r>
  <r>
    <x v="13"/>
    <s v="ORD9940"/>
    <x v="3"/>
    <x v="0"/>
    <x v="1"/>
    <n v="44487"/>
    <n v="6673.05"/>
    <n v="5"/>
  </r>
  <r>
    <x v="211"/>
    <s v="ORD7192"/>
    <x v="5"/>
    <x v="1"/>
    <x v="2"/>
    <n v="22572"/>
    <n v="3385.7999999999997"/>
    <n v="3"/>
  </r>
  <r>
    <x v="79"/>
    <s v="ORD6637"/>
    <x v="1"/>
    <x v="1"/>
    <x v="2"/>
    <n v="66559"/>
    <n v="9983.85"/>
    <n v="2"/>
  </r>
  <r>
    <x v="212"/>
    <s v="ORD7147"/>
    <x v="0"/>
    <x v="0"/>
    <x v="1"/>
    <n v="39182"/>
    <n v="5877.3"/>
    <n v="3"/>
  </r>
  <r>
    <x v="111"/>
    <s v="ORD6851"/>
    <x v="0"/>
    <x v="0"/>
    <x v="0"/>
    <n v="42271"/>
    <n v="6340.65"/>
    <n v="1"/>
  </r>
  <r>
    <x v="205"/>
    <s v="ORD3049"/>
    <x v="3"/>
    <x v="0"/>
    <x v="2"/>
    <n v="55992"/>
    <n v="8398.7999999999993"/>
    <n v="5"/>
  </r>
  <r>
    <x v="179"/>
    <s v="ORD9732"/>
    <x v="4"/>
    <x v="2"/>
    <x v="1"/>
    <n v="51783"/>
    <n v="7767.45"/>
    <n v="2"/>
  </r>
  <r>
    <x v="133"/>
    <s v="ORD3514"/>
    <x v="0"/>
    <x v="0"/>
    <x v="2"/>
    <n v="64663"/>
    <n v="9699.4499999999989"/>
    <n v="3"/>
  </r>
  <r>
    <x v="213"/>
    <s v="ORD1900"/>
    <x v="4"/>
    <x v="2"/>
    <x v="0"/>
    <n v="76467"/>
    <n v="11470.05"/>
    <n v="4"/>
  </r>
  <r>
    <x v="109"/>
    <s v="ORD6116"/>
    <x v="4"/>
    <x v="2"/>
    <x v="0"/>
    <n v="33523"/>
    <n v="5028.45"/>
    <n v="4"/>
  </r>
  <r>
    <x v="48"/>
    <s v="ORD9199"/>
    <x v="2"/>
    <x v="2"/>
    <x v="1"/>
    <n v="51993"/>
    <n v="7798.95"/>
    <n v="1"/>
  </r>
  <r>
    <x v="26"/>
    <s v="ORD6196"/>
    <x v="5"/>
    <x v="1"/>
    <x v="3"/>
    <n v="15784"/>
    <n v="2367.6"/>
    <n v="4"/>
  </r>
  <r>
    <x v="214"/>
    <s v="ORD1268"/>
    <x v="0"/>
    <x v="0"/>
    <x v="2"/>
    <n v="19314"/>
    <n v="2897.1"/>
    <n v="3"/>
  </r>
  <r>
    <x v="176"/>
    <s v="ORD9502"/>
    <x v="0"/>
    <x v="0"/>
    <x v="1"/>
    <n v="43512"/>
    <n v="6526.8"/>
    <n v="5"/>
  </r>
  <r>
    <x v="96"/>
    <s v="ORD5296"/>
    <x v="0"/>
    <x v="0"/>
    <x v="3"/>
    <n v="64326"/>
    <n v="9648.9"/>
    <n v="3"/>
  </r>
  <r>
    <x v="215"/>
    <s v="ORD4719"/>
    <x v="5"/>
    <x v="1"/>
    <x v="0"/>
    <n v="79689"/>
    <n v="11953.35"/>
    <n v="3"/>
  </r>
  <r>
    <x v="153"/>
    <s v="ORD5627"/>
    <x v="3"/>
    <x v="0"/>
    <x v="1"/>
    <n v="31422"/>
    <n v="4713.3"/>
    <n v="2"/>
  </r>
  <r>
    <x v="216"/>
    <s v="ORD2074"/>
    <x v="0"/>
    <x v="0"/>
    <x v="3"/>
    <n v="15198"/>
    <n v="2279.6999999999998"/>
    <n v="1"/>
  </r>
  <r>
    <x v="217"/>
    <s v="ORD8740"/>
    <x v="5"/>
    <x v="1"/>
    <x v="3"/>
    <n v="5690"/>
    <n v="853.5"/>
    <n v="1"/>
  </r>
  <r>
    <x v="205"/>
    <s v="ORD2112"/>
    <x v="0"/>
    <x v="0"/>
    <x v="0"/>
    <n v="59825"/>
    <n v="8973.75"/>
    <n v="5"/>
  </r>
  <r>
    <x v="218"/>
    <s v="ORD7951"/>
    <x v="4"/>
    <x v="2"/>
    <x v="2"/>
    <n v="51778"/>
    <n v="7766.7"/>
    <n v="3"/>
  </r>
  <r>
    <x v="90"/>
    <s v="ORD1924"/>
    <x v="3"/>
    <x v="0"/>
    <x v="1"/>
    <n v="40420"/>
    <n v="6063"/>
    <n v="1"/>
  </r>
  <r>
    <x v="219"/>
    <s v="ORD7022"/>
    <x v="2"/>
    <x v="2"/>
    <x v="0"/>
    <n v="32349"/>
    <n v="4852.3499999999995"/>
    <n v="2"/>
  </r>
  <r>
    <x v="220"/>
    <s v="ORD2893"/>
    <x v="2"/>
    <x v="2"/>
    <x v="0"/>
    <n v="15673"/>
    <n v="2350.9499999999998"/>
    <n v="4"/>
  </r>
  <r>
    <x v="43"/>
    <s v="ORD2413"/>
    <x v="4"/>
    <x v="2"/>
    <x v="1"/>
    <n v="43317"/>
    <n v="6497.55"/>
    <n v="2"/>
  </r>
  <r>
    <x v="192"/>
    <s v="ORD1190"/>
    <x v="4"/>
    <x v="2"/>
    <x v="2"/>
    <n v="78613"/>
    <n v="11791.949999999999"/>
    <n v="4"/>
  </r>
  <r>
    <x v="81"/>
    <s v="ORD9125"/>
    <x v="5"/>
    <x v="1"/>
    <x v="1"/>
    <n v="6916"/>
    <n v="1037.3999999999999"/>
    <n v="2"/>
  </r>
  <r>
    <x v="168"/>
    <s v="ORD1612"/>
    <x v="3"/>
    <x v="0"/>
    <x v="0"/>
    <n v="3325"/>
    <n v="498.75"/>
    <n v="5"/>
  </r>
  <r>
    <x v="128"/>
    <s v="ORD6249"/>
    <x v="1"/>
    <x v="1"/>
    <x v="3"/>
    <n v="47020"/>
    <n v="7053"/>
    <n v="1"/>
  </r>
  <r>
    <x v="221"/>
    <s v="ORD2562"/>
    <x v="3"/>
    <x v="0"/>
    <x v="3"/>
    <n v="78827"/>
    <n v="11824.05"/>
    <n v="3"/>
  </r>
  <r>
    <x v="160"/>
    <s v="ORD7401"/>
    <x v="5"/>
    <x v="1"/>
    <x v="2"/>
    <n v="43937"/>
    <n v="6590.55"/>
    <n v="2"/>
  </r>
  <r>
    <x v="44"/>
    <s v="ORD2231"/>
    <x v="2"/>
    <x v="2"/>
    <x v="1"/>
    <n v="67293"/>
    <n v="10093.949999999999"/>
    <n v="2"/>
  </r>
  <r>
    <x v="188"/>
    <s v="ORD1677"/>
    <x v="1"/>
    <x v="1"/>
    <x v="3"/>
    <n v="64390"/>
    <n v="9658.5"/>
    <n v="4"/>
  </r>
  <r>
    <x v="222"/>
    <s v="ORD6667"/>
    <x v="0"/>
    <x v="0"/>
    <x v="3"/>
    <n v="71613"/>
    <n v="10741.949999999999"/>
    <n v="2"/>
  </r>
  <r>
    <x v="223"/>
    <s v="ORD2050"/>
    <x v="3"/>
    <x v="0"/>
    <x v="0"/>
    <n v="52924"/>
    <n v="7938.5999999999995"/>
    <n v="1"/>
  </r>
  <r>
    <x v="142"/>
    <s v="ORD6305"/>
    <x v="5"/>
    <x v="1"/>
    <x v="0"/>
    <n v="13976"/>
    <n v="2096.4"/>
    <n v="1"/>
  </r>
  <r>
    <x v="172"/>
    <s v="ORD4755"/>
    <x v="3"/>
    <x v="0"/>
    <x v="2"/>
    <n v="8459"/>
    <n v="1268.8499999999999"/>
    <n v="4"/>
  </r>
  <r>
    <x v="68"/>
    <s v="ORD3582"/>
    <x v="0"/>
    <x v="0"/>
    <x v="0"/>
    <n v="65531"/>
    <n v="9829.65"/>
    <n v="4"/>
  </r>
  <r>
    <x v="179"/>
    <s v="ORD1283"/>
    <x v="1"/>
    <x v="1"/>
    <x v="2"/>
    <n v="45427"/>
    <n v="6814.05"/>
    <n v="4"/>
  </r>
  <r>
    <x v="224"/>
    <s v="ORD2164"/>
    <x v="1"/>
    <x v="1"/>
    <x v="0"/>
    <n v="60452"/>
    <n v="9067.7999999999993"/>
    <n v="5"/>
  </r>
  <r>
    <x v="135"/>
    <s v="ORD1555"/>
    <x v="5"/>
    <x v="1"/>
    <x v="2"/>
    <n v="49930"/>
    <n v="7489.5"/>
    <n v="4"/>
  </r>
  <r>
    <x v="225"/>
    <s v="ORD2286"/>
    <x v="3"/>
    <x v="0"/>
    <x v="2"/>
    <n v="25728"/>
    <n v="3859.2"/>
    <n v="3"/>
  </r>
  <r>
    <x v="121"/>
    <s v="ORD2393"/>
    <x v="4"/>
    <x v="2"/>
    <x v="0"/>
    <n v="20612"/>
    <n v="3091.7999999999997"/>
    <n v="1"/>
  </r>
  <r>
    <x v="86"/>
    <s v="ORD7590"/>
    <x v="2"/>
    <x v="2"/>
    <x v="2"/>
    <n v="41635"/>
    <n v="6245.25"/>
    <n v="2"/>
  </r>
  <r>
    <x v="197"/>
    <s v="ORD1740"/>
    <x v="2"/>
    <x v="2"/>
    <x v="2"/>
    <n v="53287"/>
    <n v="7993.0499999999993"/>
    <n v="4"/>
  </r>
  <r>
    <x v="29"/>
    <s v="ORD8041"/>
    <x v="4"/>
    <x v="2"/>
    <x v="3"/>
    <n v="68311"/>
    <n v="10246.65"/>
    <n v="4"/>
  </r>
  <r>
    <x v="10"/>
    <s v="ORD2442"/>
    <x v="5"/>
    <x v="1"/>
    <x v="1"/>
    <n v="43137"/>
    <n v="6470.55"/>
    <n v="3"/>
  </r>
  <r>
    <x v="226"/>
    <s v="ORD3186"/>
    <x v="2"/>
    <x v="2"/>
    <x v="0"/>
    <n v="47389"/>
    <n v="7108.3499999999995"/>
    <n v="2"/>
  </r>
  <r>
    <x v="72"/>
    <s v="ORD6335"/>
    <x v="5"/>
    <x v="1"/>
    <x v="3"/>
    <n v="62829"/>
    <n v="9424.35"/>
    <n v="1"/>
  </r>
  <r>
    <x v="191"/>
    <s v="ORD7466"/>
    <x v="1"/>
    <x v="1"/>
    <x v="0"/>
    <n v="5305"/>
    <n v="795.75"/>
    <n v="1"/>
  </r>
  <r>
    <x v="193"/>
    <s v="ORD6779"/>
    <x v="3"/>
    <x v="0"/>
    <x v="2"/>
    <n v="37155"/>
    <n v="5573.25"/>
    <n v="4"/>
  </r>
  <r>
    <x v="81"/>
    <s v="ORD4648"/>
    <x v="1"/>
    <x v="1"/>
    <x v="2"/>
    <n v="66664"/>
    <n v="9999.6"/>
    <n v="2"/>
  </r>
  <r>
    <x v="135"/>
    <s v="ORD2838"/>
    <x v="5"/>
    <x v="1"/>
    <x v="1"/>
    <n v="43149"/>
    <n v="6472.3499999999995"/>
    <n v="5"/>
  </r>
  <r>
    <x v="196"/>
    <s v="ORD1170"/>
    <x v="0"/>
    <x v="0"/>
    <x v="0"/>
    <n v="18305"/>
    <n v="2745.75"/>
    <n v="3"/>
  </r>
  <r>
    <x v="145"/>
    <s v="ORD5520"/>
    <x v="1"/>
    <x v="1"/>
    <x v="1"/>
    <n v="52402"/>
    <n v="7860.2999999999993"/>
    <n v="4"/>
  </r>
  <r>
    <x v="156"/>
    <s v="ORD3390"/>
    <x v="2"/>
    <x v="2"/>
    <x v="3"/>
    <n v="61181"/>
    <n v="9177.15"/>
    <n v="1"/>
  </r>
  <r>
    <x v="227"/>
    <s v="ORD2429"/>
    <x v="4"/>
    <x v="2"/>
    <x v="1"/>
    <n v="65050"/>
    <n v="9757.5"/>
    <n v="1"/>
  </r>
  <r>
    <x v="228"/>
    <s v="ORD7683"/>
    <x v="3"/>
    <x v="0"/>
    <x v="2"/>
    <n v="75209"/>
    <n v="11281.35"/>
    <n v="4"/>
  </r>
  <r>
    <x v="123"/>
    <s v="ORD9293"/>
    <x v="4"/>
    <x v="2"/>
    <x v="3"/>
    <n v="75015"/>
    <n v="11252.25"/>
    <n v="4"/>
  </r>
  <r>
    <x v="56"/>
    <s v="ORD6344"/>
    <x v="2"/>
    <x v="2"/>
    <x v="3"/>
    <n v="59645"/>
    <n v="8946.75"/>
    <n v="5"/>
  </r>
  <r>
    <x v="166"/>
    <s v="ORD7371"/>
    <x v="0"/>
    <x v="0"/>
    <x v="1"/>
    <n v="11227"/>
    <n v="1684.05"/>
    <n v="4"/>
  </r>
  <r>
    <x v="131"/>
    <s v="ORD9161"/>
    <x v="4"/>
    <x v="2"/>
    <x v="2"/>
    <n v="43568"/>
    <n v="6535.2"/>
    <n v="3"/>
  </r>
  <r>
    <x v="229"/>
    <s v="ORD2235"/>
    <x v="1"/>
    <x v="1"/>
    <x v="3"/>
    <n v="70772"/>
    <n v="10615.8"/>
    <n v="4"/>
  </r>
  <r>
    <x v="230"/>
    <s v="ORD1546"/>
    <x v="3"/>
    <x v="0"/>
    <x v="1"/>
    <n v="68624"/>
    <n v="10293.6"/>
    <n v="1"/>
  </r>
  <r>
    <x v="23"/>
    <s v="ORD7878"/>
    <x v="0"/>
    <x v="0"/>
    <x v="3"/>
    <n v="38310"/>
    <n v="5746.5"/>
    <n v="5"/>
  </r>
  <r>
    <x v="59"/>
    <s v="ORD1873"/>
    <x v="1"/>
    <x v="1"/>
    <x v="3"/>
    <n v="64738"/>
    <n v="9710.6999999999989"/>
    <n v="4"/>
  </r>
  <r>
    <x v="81"/>
    <s v="ORD2198"/>
    <x v="4"/>
    <x v="2"/>
    <x v="2"/>
    <n v="49915"/>
    <n v="7487.25"/>
    <n v="4"/>
  </r>
  <r>
    <x v="231"/>
    <s v="ORD1324"/>
    <x v="2"/>
    <x v="2"/>
    <x v="1"/>
    <n v="64758"/>
    <n v="9713.6999999999989"/>
    <n v="4"/>
  </r>
  <r>
    <x v="232"/>
    <s v="ORD2507"/>
    <x v="5"/>
    <x v="1"/>
    <x v="2"/>
    <n v="10610"/>
    <n v="1591.5"/>
    <n v="5"/>
  </r>
  <r>
    <x v="233"/>
    <s v="ORD7007"/>
    <x v="4"/>
    <x v="2"/>
    <x v="0"/>
    <n v="17866"/>
    <n v="2679.9"/>
    <n v="5"/>
  </r>
  <r>
    <x v="234"/>
    <s v="ORD3448"/>
    <x v="4"/>
    <x v="2"/>
    <x v="3"/>
    <n v="42410"/>
    <n v="6361.5"/>
    <n v="1"/>
  </r>
  <r>
    <x v="235"/>
    <s v="ORD6243"/>
    <x v="5"/>
    <x v="1"/>
    <x v="1"/>
    <n v="15983"/>
    <n v="2397.4499999999998"/>
    <n v="3"/>
  </r>
  <r>
    <x v="236"/>
    <s v="ORD5039"/>
    <x v="2"/>
    <x v="2"/>
    <x v="1"/>
    <n v="54514"/>
    <n v="8177.0999999999995"/>
    <n v="1"/>
  </r>
  <r>
    <x v="208"/>
    <s v="ORD2855"/>
    <x v="1"/>
    <x v="1"/>
    <x v="0"/>
    <n v="16691"/>
    <n v="2503.65"/>
    <n v="2"/>
  </r>
  <r>
    <x v="237"/>
    <s v="ORD5368"/>
    <x v="4"/>
    <x v="2"/>
    <x v="2"/>
    <n v="61928"/>
    <n v="9289.1999999999989"/>
    <n v="5"/>
  </r>
  <r>
    <x v="91"/>
    <s v="ORD1145"/>
    <x v="4"/>
    <x v="2"/>
    <x v="0"/>
    <n v="79401"/>
    <n v="11910.15"/>
    <n v="2"/>
  </r>
  <r>
    <x v="238"/>
    <s v="ORD1258"/>
    <x v="5"/>
    <x v="1"/>
    <x v="0"/>
    <n v="20493"/>
    <n v="3073.95"/>
    <n v="4"/>
  </r>
  <r>
    <x v="239"/>
    <s v="ORD1038"/>
    <x v="2"/>
    <x v="2"/>
    <x v="1"/>
    <n v="18236"/>
    <n v="2735.4"/>
    <n v="3"/>
  </r>
  <r>
    <x v="79"/>
    <s v="ORD4289"/>
    <x v="0"/>
    <x v="0"/>
    <x v="2"/>
    <n v="5998"/>
    <n v="899.69999999999993"/>
    <n v="2"/>
  </r>
  <r>
    <x v="185"/>
    <s v="ORD8132"/>
    <x v="3"/>
    <x v="0"/>
    <x v="2"/>
    <n v="12852"/>
    <n v="1927.8"/>
    <n v="1"/>
  </r>
  <r>
    <x v="240"/>
    <s v="ORD5346"/>
    <x v="3"/>
    <x v="0"/>
    <x v="1"/>
    <n v="52039"/>
    <n v="7805.8499999999995"/>
    <n v="4"/>
  </r>
  <r>
    <x v="241"/>
    <s v="ORD8021"/>
    <x v="1"/>
    <x v="1"/>
    <x v="0"/>
    <n v="79683"/>
    <n v="11952.449999999999"/>
    <n v="3"/>
  </r>
  <r>
    <x v="183"/>
    <s v="ORD6663"/>
    <x v="2"/>
    <x v="2"/>
    <x v="1"/>
    <n v="72687"/>
    <n v="10903.05"/>
    <n v="4"/>
  </r>
  <r>
    <x v="80"/>
    <s v="ORD4441"/>
    <x v="4"/>
    <x v="2"/>
    <x v="3"/>
    <n v="45116"/>
    <n v="6767.4"/>
    <n v="4"/>
  </r>
  <r>
    <x v="102"/>
    <s v="ORD9021"/>
    <x v="4"/>
    <x v="2"/>
    <x v="2"/>
    <n v="78114"/>
    <n v="11717.1"/>
    <n v="3"/>
  </r>
  <r>
    <x v="242"/>
    <s v="ORD1051"/>
    <x v="5"/>
    <x v="1"/>
    <x v="2"/>
    <n v="69586"/>
    <n v="10437.9"/>
    <n v="3"/>
  </r>
  <r>
    <x v="243"/>
    <s v="ORD9693"/>
    <x v="4"/>
    <x v="2"/>
    <x v="2"/>
    <n v="27454"/>
    <n v="4118.0999999999995"/>
    <n v="3"/>
  </r>
  <r>
    <x v="134"/>
    <s v="ORD5275"/>
    <x v="2"/>
    <x v="2"/>
    <x v="2"/>
    <n v="33428"/>
    <n v="5014.2"/>
    <n v="5"/>
  </r>
  <r>
    <x v="244"/>
    <s v="ORD8314"/>
    <x v="3"/>
    <x v="0"/>
    <x v="2"/>
    <n v="59077"/>
    <n v="8861.5499999999993"/>
    <n v="4"/>
  </r>
  <r>
    <x v="119"/>
    <s v="ORD6626"/>
    <x v="1"/>
    <x v="1"/>
    <x v="3"/>
    <n v="9745"/>
    <n v="1461.75"/>
    <n v="5"/>
  </r>
  <r>
    <x v="245"/>
    <s v="ORD8375"/>
    <x v="2"/>
    <x v="2"/>
    <x v="3"/>
    <n v="35764"/>
    <n v="5364.5999999999995"/>
    <n v="4"/>
  </r>
  <r>
    <x v="155"/>
    <s v="ORD6856"/>
    <x v="5"/>
    <x v="1"/>
    <x v="0"/>
    <n v="77647"/>
    <n v="11647.05"/>
    <n v="1"/>
  </r>
  <r>
    <x v="123"/>
    <s v="ORD9319"/>
    <x v="5"/>
    <x v="1"/>
    <x v="3"/>
    <n v="69562"/>
    <n v="10434.299999999999"/>
    <n v="1"/>
  </r>
  <r>
    <x v="90"/>
    <s v="ORD2575"/>
    <x v="1"/>
    <x v="1"/>
    <x v="1"/>
    <n v="28489"/>
    <n v="4273.3499999999995"/>
    <n v="1"/>
  </r>
  <r>
    <x v="246"/>
    <s v="ORD9867"/>
    <x v="3"/>
    <x v="0"/>
    <x v="3"/>
    <n v="44255"/>
    <n v="6638.25"/>
    <n v="1"/>
  </r>
  <r>
    <x v="132"/>
    <s v="ORD8854"/>
    <x v="2"/>
    <x v="2"/>
    <x v="0"/>
    <n v="78482"/>
    <n v="11772.3"/>
    <n v="1"/>
  </r>
  <r>
    <x v="15"/>
    <s v="ORD7112"/>
    <x v="2"/>
    <x v="2"/>
    <x v="0"/>
    <n v="58742"/>
    <n v="8811.2999999999993"/>
    <n v="1"/>
  </r>
  <r>
    <x v="247"/>
    <s v="ORD3570"/>
    <x v="3"/>
    <x v="0"/>
    <x v="2"/>
    <n v="32345"/>
    <n v="4851.75"/>
    <n v="5"/>
  </r>
  <r>
    <x v="215"/>
    <s v="ORD3596"/>
    <x v="1"/>
    <x v="1"/>
    <x v="3"/>
    <n v="1833"/>
    <n v="274.95"/>
    <n v="2"/>
  </r>
  <r>
    <x v="248"/>
    <s v="ORD9811"/>
    <x v="3"/>
    <x v="0"/>
    <x v="1"/>
    <n v="15971"/>
    <n v="2395.65"/>
    <n v="5"/>
  </r>
  <r>
    <x v="238"/>
    <s v="ORD5460"/>
    <x v="0"/>
    <x v="0"/>
    <x v="1"/>
    <n v="35625"/>
    <n v="5343.75"/>
    <n v="4"/>
  </r>
  <r>
    <x v="249"/>
    <s v="ORD8851"/>
    <x v="5"/>
    <x v="1"/>
    <x v="2"/>
    <n v="75958"/>
    <n v="11393.699999999999"/>
    <n v="5"/>
  </r>
  <r>
    <x v="241"/>
    <s v="ORD2945"/>
    <x v="1"/>
    <x v="1"/>
    <x v="0"/>
    <n v="39642"/>
    <n v="5946.3"/>
    <n v="1"/>
  </r>
  <r>
    <x v="250"/>
    <s v="ORD7766"/>
    <x v="2"/>
    <x v="2"/>
    <x v="1"/>
    <n v="37055"/>
    <n v="5558.25"/>
    <n v="2"/>
  </r>
  <r>
    <x v="251"/>
    <s v="ORD7648"/>
    <x v="2"/>
    <x v="2"/>
    <x v="0"/>
    <n v="40028"/>
    <n v="6004.2"/>
    <n v="5"/>
  </r>
  <r>
    <x v="175"/>
    <s v="ORD8684"/>
    <x v="0"/>
    <x v="0"/>
    <x v="0"/>
    <n v="1887"/>
    <n v="283.05"/>
    <n v="3"/>
  </r>
  <r>
    <x v="129"/>
    <s v="ORD6231"/>
    <x v="3"/>
    <x v="0"/>
    <x v="0"/>
    <n v="58846"/>
    <n v="8826.9"/>
    <n v="4"/>
  </r>
  <r>
    <x v="35"/>
    <s v="ORD1042"/>
    <x v="2"/>
    <x v="2"/>
    <x v="1"/>
    <n v="79643"/>
    <n v="11946.449999999999"/>
    <n v="3"/>
  </r>
  <r>
    <x v="252"/>
    <s v="ORD5401"/>
    <x v="2"/>
    <x v="2"/>
    <x v="3"/>
    <n v="40460"/>
    <n v="6069"/>
    <n v="4"/>
  </r>
  <r>
    <x v="104"/>
    <s v="ORD9557"/>
    <x v="4"/>
    <x v="2"/>
    <x v="3"/>
    <n v="26204"/>
    <n v="3930.6"/>
    <n v="4"/>
  </r>
  <r>
    <x v="157"/>
    <s v="ORD5678"/>
    <x v="2"/>
    <x v="2"/>
    <x v="3"/>
    <n v="32694"/>
    <n v="4904.0999999999995"/>
    <n v="3"/>
  </r>
  <r>
    <x v="144"/>
    <s v="ORD5302"/>
    <x v="5"/>
    <x v="1"/>
    <x v="1"/>
    <n v="69489"/>
    <n v="10423.35"/>
    <n v="1"/>
  </r>
  <r>
    <x v="253"/>
    <s v="ORD6983"/>
    <x v="3"/>
    <x v="0"/>
    <x v="3"/>
    <n v="35042"/>
    <n v="5256.3"/>
    <n v="3"/>
  </r>
  <r>
    <x v="105"/>
    <s v="ORD7888"/>
    <x v="5"/>
    <x v="1"/>
    <x v="1"/>
    <n v="8067"/>
    <n v="1210.05"/>
    <n v="3"/>
  </r>
  <r>
    <x v="254"/>
    <s v="ORD2037"/>
    <x v="1"/>
    <x v="1"/>
    <x v="3"/>
    <n v="60739"/>
    <n v="9110.85"/>
    <n v="1"/>
  </r>
  <r>
    <x v="240"/>
    <s v="ORD9447"/>
    <x v="2"/>
    <x v="2"/>
    <x v="3"/>
    <n v="26807"/>
    <n v="4021.0499999999997"/>
    <n v="2"/>
  </r>
  <r>
    <x v="255"/>
    <s v="ORD6964"/>
    <x v="5"/>
    <x v="1"/>
    <x v="2"/>
    <n v="57936"/>
    <n v="8690.4"/>
    <n v="5"/>
  </r>
  <r>
    <x v="84"/>
    <s v="ORD1702"/>
    <x v="2"/>
    <x v="2"/>
    <x v="2"/>
    <n v="17772"/>
    <n v="2665.7999999999997"/>
    <n v="4"/>
  </r>
  <r>
    <x v="256"/>
    <s v="ORD8051"/>
    <x v="4"/>
    <x v="2"/>
    <x v="3"/>
    <n v="62159"/>
    <n v="9323.85"/>
    <n v="4"/>
  </r>
  <r>
    <x v="231"/>
    <s v="ORD2629"/>
    <x v="4"/>
    <x v="2"/>
    <x v="3"/>
    <n v="74544"/>
    <n v="11181.6"/>
    <n v="5"/>
  </r>
  <r>
    <x v="162"/>
    <s v="ORD6936"/>
    <x v="3"/>
    <x v="0"/>
    <x v="1"/>
    <n v="47787"/>
    <n v="7168.05"/>
    <n v="4"/>
  </r>
  <r>
    <x v="257"/>
    <s v="ORD6177"/>
    <x v="5"/>
    <x v="1"/>
    <x v="1"/>
    <n v="20677"/>
    <n v="3101.5499999999997"/>
    <n v="5"/>
  </r>
  <r>
    <x v="117"/>
    <s v="ORD4689"/>
    <x v="4"/>
    <x v="2"/>
    <x v="3"/>
    <n v="4101"/>
    <n v="615.15"/>
    <n v="2"/>
  </r>
  <r>
    <x v="130"/>
    <s v="ORD2126"/>
    <x v="2"/>
    <x v="2"/>
    <x v="3"/>
    <n v="59056"/>
    <n v="8858.4"/>
    <n v="5"/>
  </r>
  <r>
    <x v="92"/>
    <s v="ORD3081"/>
    <x v="1"/>
    <x v="1"/>
    <x v="3"/>
    <n v="3587"/>
    <n v="538.04999999999995"/>
    <n v="3"/>
  </r>
  <r>
    <x v="161"/>
    <s v="ORD6966"/>
    <x v="3"/>
    <x v="0"/>
    <x v="0"/>
    <n v="57991"/>
    <n v="8698.65"/>
    <n v="3"/>
  </r>
  <r>
    <x v="37"/>
    <s v="ORD8624"/>
    <x v="0"/>
    <x v="0"/>
    <x v="0"/>
    <n v="79749"/>
    <n v="11962.35"/>
    <n v="2"/>
  </r>
  <r>
    <x v="255"/>
    <s v="ORD7297"/>
    <x v="3"/>
    <x v="0"/>
    <x v="0"/>
    <n v="47736"/>
    <n v="7160.4"/>
    <n v="3"/>
  </r>
  <r>
    <x v="258"/>
    <s v="ORD1188"/>
    <x v="1"/>
    <x v="1"/>
    <x v="3"/>
    <n v="22344"/>
    <n v="3351.6"/>
    <n v="3"/>
  </r>
  <r>
    <x v="259"/>
    <s v="ORD4156"/>
    <x v="4"/>
    <x v="2"/>
    <x v="3"/>
    <n v="63003"/>
    <n v="9450.4499999999989"/>
    <n v="1"/>
  </r>
  <r>
    <x v="34"/>
    <s v="ORD2564"/>
    <x v="1"/>
    <x v="1"/>
    <x v="3"/>
    <n v="53419"/>
    <n v="8012.8499999999995"/>
    <n v="4"/>
  </r>
  <r>
    <x v="74"/>
    <s v="ORD1937"/>
    <x v="3"/>
    <x v="0"/>
    <x v="2"/>
    <n v="6021"/>
    <n v="903.15"/>
    <n v="4"/>
  </r>
  <r>
    <x v="109"/>
    <s v="ORD7044"/>
    <x v="4"/>
    <x v="2"/>
    <x v="3"/>
    <n v="68300"/>
    <n v="10245"/>
    <n v="3"/>
  </r>
  <r>
    <x v="260"/>
    <s v="ORD8115"/>
    <x v="2"/>
    <x v="2"/>
    <x v="2"/>
    <n v="19703"/>
    <n v="2955.45"/>
    <n v="1"/>
  </r>
  <r>
    <x v="185"/>
    <s v="ORD6097"/>
    <x v="1"/>
    <x v="1"/>
    <x v="2"/>
    <n v="56824"/>
    <n v="8523.6"/>
    <n v="1"/>
  </r>
  <r>
    <x v="229"/>
    <s v="ORD8248"/>
    <x v="4"/>
    <x v="2"/>
    <x v="2"/>
    <n v="37199"/>
    <n v="5579.8499999999995"/>
    <n v="3"/>
  </r>
  <r>
    <x v="175"/>
    <s v="ORD3696"/>
    <x v="4"/>
    <x v="2"/>
    <x v="0"/>
    <n v="44517"/>
    <n v="6677.55"/>
    <n v="5"/>
  </r>
  <r>
    <x v="68"/>
    <s v="ORD5726"/>
    <x v="4"/>
    <x v="2"/>
    <x v="3"/>
    <n v="16612"/>
    <n v="2491.7999999999997"/>
    <n v="5"/>
  </r>
  <r>
    <x v="107"/>
    <s v="ORD9106"/>
    <x v="4"/>
    <x v="2"/>
    <x v="3"/>
    <n v="66370"/>
    <n v="9955.5"/>
    <n v="2"/>
  </r>
  <r>
    <x v="261"/>
    <s v="ORD3666"/>
    <x v="0"/>
    <x v="0"/>
    <x v="3"/>
    <n v="43405"/>
    <n v="6510.75"/>
    <n v="2"/>
  </r>
  <r>
    <x v="11"/>
    <s v="ORD2603"/>
    <x v="0"/>
    <x v="0"/>
    <x v="1"/>
    <n v="78564"/>
    <n v="11784.6"/>
    <n v="1"/>
  </r>
  <r>
    <x v="262"/>
    <s v="ORD7195"/>
    <x v="0"/>
    <x v="0"/>
    <x v="2"/>
    <n v="63068"/>
    <n v="9460.1999999999989"/>
    <n v="2"/>
  </r>
  <r>
    <x v="245"/>
    <s v="ORD8169"/>
    <x v="4"/>
    <x v="2"/>
    <x v="3"/>
    <n v="33227"/>
    <n v="4984.05"/>
    <n v="2"/>
  </r>
  <r>
    <x v="263"/>
    <s v="ORD4533"/>
    <x v="0"/>
    <x v="0"/>
    <x v="1"/>
    <n v="53153"/>
    <n v="7972.95"/>
    <n v="1"/>
  </r>
  <r>
    <x v="264"/>
    <s v="ORD2902"/>
    <x v="4"/>
    <x v="2"/>
    <x v="0"/>
    <n v="48027"/>
    <n v="7204.05"/>
    <n v="1"/>
  </r>
  <r>
    <x v="45"/>
    <s v="ORD3379"/>
    <x v="2"/>
    <x v="2"/>
    <x v="1"/>
    <n v="70075"/>
    <n v="10511.25"/>
    <n v="5"/>
  </r>
  <r>
    <x v="35"/>
    <s v="ORD4927"/>
    <x v="0"/>
    <x v="0"/>
    <x v="3"/>
    <n v="65128"/>
    <n v="9769.1999999999989"/>
    <n v="5"/>
  </r>
  <r>
    <x v="265"/>
    <s v="ORD8225"/>
    <x v="2"/>
    <x v="2"/>
    <x v="3"/>
    <n v="71884"/>
    <n v="10782.6"/>
    <n v="4"/>
  </r>
  <r>
    <x v="157"/>
    <s v="ORD4345"/>
    <x v="3"/>
    <x v="0"/>
    <x v="3"/>
    <n v="16776"/>
    <n v="2516.4"/>
    <n v="2"/>
  </r>
  <r>
    <x v="229"/>
    <s v="ORD8650"/>
    <x v="5"/>
    <x v="1"/>
    <x v="0"/>
    <n v="1902"/>
    <n v="285.3"/>
    <n v="4"/>
  </r>
  <r>
    <x v="197"/>
    <s v="ORD5068"/>
    <x v="4"/>
    <x v="2"/>
    <x v="3"/>
    <n v="63151"/>
    <n v="9472.65"/>
    <n v="5"/>
  </r>
  <r>
    <x v="145"/>
    <s v="ORD2858"/>
    <x v="1"/>
    <x v="1"/>
    <x v="0"/>
    <n v="1128"/>
    <n v="169.2"/>
    <n v="5"/>
  </r>
  <r>
    <x v="196"/>
    <s v="ORD9424"/>
    <x v="5"/>
    <x v="1"/>
    <x v="1"/>
    <n v="35740"/>
    <n v="5361"/>
    <n v="1"/>
  </r>
  <r>
    <x v="229"/>
    <s v="ORD5502"/>
    <x v="3"/>
    <x v="0"/>
    <x v="2"/>
    <n v="63353"/>
    <n v="9502.9499999999989"/>
    <n v="1"/>
  </r>
  <r>
    <x v="52"/>
    <s v="ORD4335"/>
    <x v="2"/>
    <x v="2"/>
    <x v="3"/>
    <n v="12428"/>
    <n v="1864.1999999999998"/>
    <n v="3"/>
  </r>
  <r>
    <x v="12"/>
    <s v="ORD4379"/>
    <x v="3"/>
    <x v="0"/>
    <x v="2"/>
    <n v="7827"/>
    <n v="1174.05"/>
    <n v="3"/>
  </r>
  <r>
    <x v="12"/>
    <s v="ORD4677"/>
    <x v="5"/>
    <x v="1"/>
    <x v="2"/>
    <n v="76505"/>
    <n v="11475.75"/>
    <n v="1"/>
  </r>
  <r>
    <x v="266"/>
    <s v="ORD6549"/>
    <x v="0"/>
    <x v="0"/>
    <x v="2"/>
    <n v="9919"/>
    <n v="1487.85"/>
    <n v="5"/>
  </r>
  <r>
    <x v="127"/>
    <s v="ORD3285"/>
    <x v="4"/>
    <x v="2"/>
    <x v="0"/>
    <n v="1290"/>
    <n v="193.5"/>
    <n v="5"/>
  </r>
  <r>
    <x v="127"/>
    <s v="ORD9929"/>
    <x v="3"/>
    <x v="0"/>
    <x v="3"/>
    <n v="12665"/>
    <n v="1899.75"/>
    <n v="3"/>
  </r>
  <r>
    <x v="267"/>
    <s v="ORD5421"/>
    <x v="3"/>
    <x v="0"/>
    <x v="2"/>
    <n v="46332"/>
    <n v="6949.8"/>
    <n v="4"/>
  </r>
  <r>
    <x v="44"/>
    <s v="ORD5516"/>
    <x v="1"/>
    <x v="1"/>
    <x v="2"/>
    <n v="67979"/>
    <n v="10196.85"/>
    <n v="3"/>
  </r>
  <r>
    <x v="268"/>
    <s v="ORD7587"/>
    <x v="0"/>
    <x v="0"/>
    <x v="0"/>
    <n v="7187"/>
    <n v="1078.05"/>
    <n v="5"/>
  </r>
  <r>
    <x v="248"/>
    <s v="ORD2051"/>
    <x v="1"/>
    <x v="1"/>
    <x v="3"/>
    <n v="38619"/>
    <n v="5792.8499999999995"/>
    <n v="1"/>
  </r>
  <r>
    <x v="269"/>
    <s v="ORD8615"/>
    <x v="3"/>
    <x v="0"/>
    <x v="0"/>
    <n v="55020"/>
    <n v="8253"/>
    <n v="3"/>
  </r>
  <r>
    <x v="141"/>
    <s v="ORD3054"/>
    <x v="5"/>
    <x v="1"/>
    <x v="3"/>
    <n v="49508"/>
    <n v="7426.2"/>
    <n v="4"/>
  </r>
  <r>
    <x v="118"/>
    <s v="ORD2158"/>
    <x v="5"/>
    <x v="1"/>
    <x v="1"/>
    <n v="76002"/>
    <n v="11400.3"/>
    <n v="2"/>
  </r>
  <r>
    <x v="3"/>
    <s v="ORD8730"/>
    <x v="2"/>
    <x v="2"/>
    <x v="3"/>
    <n v="45837"/>
    <n v="6875.55"/>
    <n v="4"/>
  </r>
  <r>
    <x v="79"/>
    <s v="ORD6734"/>
    <x v="0"/>
    <x v="0"/>
    <x v="2"/>
    <n v="79799"/>
    <n v="11969.85"/>
    <n v="4"/>
  </r>
  <r>
    <x v="180"/>
    <s v="ORD1044"/>
    <x v="2"/>
    <x v="2"/>
    <x v="0"/>
    <n v="34821"/>
    <n v="5223.1499999999996"/>
    <n v="3"/>
  </r>
  <r>
    <x v="161"/>
    <s v="ORD1348"/>
    <x v="2"/>
    <x v="2"/>
    <x v="0"/>
    <n v="70966"/>
    <n v="10644.9"/>
    <n v="4"/>
  </r>
  <r>
    <x v="52"/>
    <s v="ORD2621"/>
    <x v="4"/>
    <x v="2"/>
    <x v="2"/>
    <n v="49648"/>
    <n v="7447.2"/>
    <n v="2"/>
  </r>
  <r>
    <x v="122"/>
    <s v="ORD8163"/>
    <x v="0"/>
    <x v="0"/>
    <x v="0"/>
    <n v="52715"/>
    <n v="7907.25"/>
    <n v="2"/>
  </r>
  <r>
    <x v="158"/>
    <s v="ORD6277"/>
    <x v="2"/>
    <x v="2"/>
    <x v="2"/>
    <n v="65589"/>
    <n v="9838.35"/>
    <n v="1"/>
  </r>
  <r>
    <x v="19"/>
    <s v="ORD8089"/>
    <x v="0"/>
    <x v="0"/>
    <x v="2"/>
    <n v="9677"/>
    <n v="1451.55"/>
    <n v="4"/>
  </r>
  <r>
    <x v="118"/>
    <s v="ORD1212"/>
    <x v="0"/>
    <x v="0"/>
    <x v="1"/>
    <n v="25009"/>
    <n v="3751.35"/>
    <n v="4"/>
  </r>
  <r>
    <x v="270"/>
    <s v="ORD2573"/>
    <x v="0"/>
    <x v="0"/>
    <x v="1"/>
    <n v="68758"/>
    <n v="10313.699999999999"/>
    <n v="3"/>
  </r>
  <r>
    <x v="111"/>
    <s v="ORD3385"/>
    <x v="0"/>
    <x v="0"/>
    <x v="0"/>
    <n v="55391"/>
    <n v="8308.65"/>
    <n v="3"/>
  </r>
  <r>
    <x v="29"/>
    <s v="ORD7717"/>
    <x v="1"/>
    <x v="1"/>
    <x v="0"/>
    <n v="78071"/>
    <n v="11710.65"/>
    <n v="1"/>
  </r>
  <r>
    <x v="216"/>
    <s v="ORD7817"/>
    <x v="3"/>
    <x v="0"/>
    <x v="2"/>
    <n v="57361"/>
    <n v="8604.15"/>
    <n v="1"/>
  </r>
  <r>
    <x v="271"/>
    <s v="ORD9945"/>
    <x v="0"/>
    <x v="0"/>
    <x v="1"/>
    <n v="3244"/>
    <n v="486.59999999999997"/>
    <n v="4"/>
  </r>
  <r>
    <x v="243"/>
    <s v="ORD7469"/>
    <x v="4"/>
    <x v="2"/>
    <x v="0"/>
    <n v="22023"/>
    <n v="3303.45"/>
    <n v="1"/>
  </r>
  <r>
    <x v="10"/>
    <s v="ORD2558"/>
    <x v="0"/>
    <x v="0"/>
    <x v="1"/>
    <n v="31542"/>
    <n v="4731.3"/>
    <n v="5"/>
  </r>
  <r>
    <x v="272"/>
    <s v="ORD7005"/>
    <x v="4"/>
    <x v="2"/>
    <x v="0"/>
    <n v="40219"/>
    <n v="6032.8499999999995"/>
    <n v="1"/>
  </r>
  <r>
    <x v="273"/>
    <s v="ORD1313"/>
    <x v="0"/>
    <x v="0"/>
    <x v="2"/>
    <n v="42695"/>
    <n v="6404.25"/>
    <n v="3"/>
  </r>
  <r>
    <x v="93"/>
    <s v="ORD7051"/>
    <x v="1"/>
    <x v="1"/>
    <x v="3"/>
    <n v="11892"/>
    <n v="1783.8"/>
    <n v="2"/>
  </r>
  <r>
    <x v="274"/>
    <s v="ORD8728"/>
    <x v="4"/>
    <x v="2"/>
    <x v="1"/>
    <n v="57477"/>
    <n v="8621.5499999999993"/>
    <n v="4"/>
  </r>
  <r>
    <x v="127"/>
    <s v="ORD5098"/>
    <x v="0"/>
    <x v="0"/>
    <x v="1"/>
    <n v="26254"/>
    <n v="3938.1"/>
    <n v="4"/>
  </r>
  <r>
    <x v="50"/>
    <s v="ORD7545"/>
    <x v="5"/>
    <x v="1"/>
    <x v="0"/>
    <n v="49686"/>
    <n v="7452.9"/>
    <n v="4"/>
  </r>
  <r>
    <x v="258"/>
    <s v="ORD2837"/>
    <x v="1"/>
    <x v="1"/>
    <x v="0"/>
    <n v="34088"/>
    <n v="5113.2"/>
    <n v="2"/>
  </r>
  <r>
    <x v="151"/>
    <s v="ORD5607"/>
    <x v="1"/>
    <x v="1"/>
    <x v="1"/>
    <n v="31659"/>
    <n v="4748.8499999999995"/>
    <n v="5"/>
  </r>
  <r>
    <x v="275"/>
    <s v="ORD2173"/>
    <x v="3"/>
    <x v="0"/>
    <x v="2"/>
    <n v="77369"/>
    <n v="11605.35"/>
    <n v="5"/>
  </r>
  <r>
    <x v="276"/>
    <s v="ORD4688"/>
    <x v="4"/>
    <x v="2"/>
    <x v="3"/>
    <n v="1088"/>
    <n v="163.19999999999999"/>
    <n v="3"/>
  </r>
  <r>
    <x v="60"/>
    <s v="ORD6216"/>
    <x v="3"/>
    <x v="0"/>
    <x v="3"/>
    <n v="62362"/>
    <n v="9354.2999999999993"/>
    <n v="1"/>
  </r>
  <r>
    <x v="19"/>
    <s v="ORD1260"/>
    <x v="5"/>
    <x v="1"/>
    <x v="1"/>
    <n v="78097"/>
    <n v="11714.55"/>
    <n v="3"/>
  </r>
  <r>
    <x v="196"/>
    <s v="ORD7901"/>
    <x v="1"/>
    <x v="1"/>
    <x v="1"/>
    <n v="74861"/>
    <n v="11229.15"/>
    <n v="4"/>
  </r>
  <r>
    <x v="77"/>
    <s v="ORD8339"/>
    <x v="3"/>
    <x v="0"/>
    <x v="3"/>
    <n v="76075"/>
    <n v="11411.25"/>
    <n v="3"/>
  </r>
  <r>
    <x v="277"/>
    <s v="ORD9026"/>
    <x v="2"/>
    <x v="2"/>
    <x v="1"/>
    <n v="40810"/>
    <n v="6121.5"/>
    <n v="4"/>
  </r>
  <r>
    <x v="72"/>
    <s v="ORD4087"/>
    <x v="2"/>
    <x v="2"/>
    <x v="0"/>
    <n v="70767"/>
    <n v="10615.05"/>
    <n v="5"/>
  </r>
  <r>
    <x v="99"/>
    <s v="ORD7579"/>
    <x v="5"/>
    <x v="1"/>
    <x v="1"/>
    <n v="31847"/>
    <n v="4777.05"/>
    <n v="1"/>
  </r>
  <r>
    <x v="111"/>
    <s v="ORD8687"/>
    <x v="0"/>
    <x v="0"/>
    <x v="0"/>
    <n v="25896"/>
    <n v="3884.3999999999996"/>
    <n v="2"/>
  </r>
  <r>
    <x v="232"/>
    <s v="ORD2653"/>
    <x v="4"/>
    <x v="2"/>
    <x v="1"/>
    <n v="42086"/>
    <n v="6312.9"/>
    <n v="3"/>
  </r>
  <r>
    <x v="227"/>
    <s v="ORD2007"/>
    <x v="1"/>
    <x v="1"/>
    <x v="1"/>
    <n v="847"/>
    <n v="127.05"/>
    <n v="1"/>
  </r>
  <r>
    <x v="128"/>
    <s v="ORD6606"/>
    <x v="3"/>
    <x v="0"/>
    <x v="3"/>
    <n v="31413"/>
    <n v="4711.95"/>
    <n v="4"/>
  </r>
  <r>
    <x v="278"/>
    <s v="ORD9915"/>
    <x v="2"/>
    <x v="2"/>
    <x v="3"/>
    <n v="49851"/>
    <n v="7477.65"/>
    <n v="1"/>
  </r>
  <r>
    <x v="279"/>
    <s v="ORD5579"/>
    <x v="1"/>
    <x v="1"/>
    <x v="1"/>
    <n v="23722"/>
    <n v="3558.2999999999997"/>
    <n v="5"/>
  </r>
  <r>
    <x v="280"/>
    <s v="ORD3960"/>
    <x v="4"/>
    <x v="2"/>
    <x v="3"/>
    <n v="16818"/>
    <n v="2522.6999999999998"/>
    <n v="4"/>
  </r>
  <r>
    <x v="47"/>
    <s v="ORD5623"/>
    <x v="2"/>
    <x v="2"/>
    <x v="1"/>
    <n v="15183"/>
    <n v="2277.4499999999998"/>
    <n v="3"/>
  </r>
  <r>
    <x v="217"/>
    <s v="ORD2054"/>
    <x v="5"/>
    <x v="1"/>
    <x v="1"/>
    <n v="19849"/>
    <n v="2977.35"/>
    <n v="2"/>
  </r>
  <r>
    <x v="38"/>
    <s v="ORD4380"/>
    <x v="4"/>
    <x v="2"/>
    <x v="0"/>
    <n v="13227"/>
    <n v="1984.05"/>
    <n v="4"/>
  </r>
  <r>
    <x v="54"/>
    <s v="ORD9492"/>
    <x v="0"/>
    <x v="0"/>
    <x v="2"/>
    <n v="749"/>
    <n v="112.35"/>
    <n v="5"/>
  </r>
  <r>
    <x v="281"/>
    <s v="ORD7055"/>
    <x v="3"/>
    <x v="0"/>
    <x v="2"/>
    <n v="14923"/>
    <n v="2238.4499999999998"/>
    <n v="4"/>
  </r>
  <r>
    <x v="135"/>
    <s v="ORD5297"/>
    <x v="1"/>
    <x v="1"/>
    <x v="0"/>
    <n v="64111"/>
    <n v="9616.65"/>
    <n v="1"/>
  </r>
  <r>
    <x v="13"/>
    <s v="ORD2859"/>
    <x v="1"/>
    <x v="1"/>
    <x v="0"/>
    <n v="9165"/>
    <n v="1374.75"/>
    <n v="4"/>
  </r>
  <r>
    <x v="88"/>
    <s v="ORD3651"/>
    <x v="5"/>
    <x v="1"/>
    <x v="3"/>
    <n v="35228"/>
    <n v="5284.2"/>
    <n v="3"/>
  </r>
  <r>
    <x v="112"/>
    <s v="ORD2592"/>
    <x v="0"/>
    <x v="0"/>
    <x v="3"/>
    <n v="13976"/>
    <n v="2096.4"/>
    <n v="5"/>
  </r>
  <r>
    <x v="93"/>
    <s v="ORD2851"/>
    <x v="0"/>
    <x v="0"/>
    <x v="2"/>
    <n v="30827"/>
    <n v="4624.05"/>
    <n v="2"/>
  </r>
  <r>
    <x v="31"/>
    <s v="ORD9968"/>
    <x v="3"/>
    <x v="0"/>
    <x v="0"/>
    <n v="20187"/>
    <n v="3028.0499999999997"/>
    <n v="4"/>
  </r>
  <r>
    <x v="71"/>
    <s v="ORD4567"/>
    <x v="3"/>
    <x v="0"/>
    <x v="2"/>
    <n v="77234"/>
    <n v="11585.1"/>
    <n v="3"/>
  </r>
  <r>
    <x v="126"/>
    <s v="ORD6790"/>
    <x v="4"/>
    <x v="2"/>
    <x v="1"/>
    <n v="76277"/>
    <n v="11441.55"/>
    <n v="4"/>
  </r>
  <r>
    <x v="82"/>
    <s v="ORD1882"/>
    <x v="0"/>
    <x v="0"/>
    <x v="2"/>
    <n v="3013"/>
    <n v="451.95"/>
    <n v="4"/>
  </r>
  <r>
    <x v="256"/>
    <s v="ORD9352"/>
    <x v="5"/>
    <x v="1"/>
    <x v="1"/>
    <n v="37983"/>
    <n v="5697.45"/>
    <n v="3"/>
  </r>
  <r>
    <x v="24"/>
    <s v="ORD5161"/>
    <x v="0"/>
    <x v="0"/>
    <x v="0"/>
    <n v="44585"/>
    <n v="6687.75"/>
    <n v="5"/>
  </r>
  <r>
    <x v="136"/>
    <s v="ORD9913"/>
    <x v="1"/>
    <x v="1"/>
    <x v="1"/>
    <n v="39495"/>
    <n v="5924.25"/>
    <n v="3"/>
  </r>
  <r>
    <x v="151"/>
    <s v="ORD1449"/>
    <x v="0"/>
    <x v="0"/>
    <x v="3"/>
    <n v="6773"/>
    <n v="1015.9499999999999"/>
    <n v="3"/>
  </r>
  <r>
    <x v="233"/>
    <s v="ORD7053"/>
    <x v="4"/>
    <x v="2"/>
    <x v="3"/>
    <n v="40889"/>
    <n v="6133.3499999999995"/>
    <n v="3"/>
  </r>
  <r>
    <x v="115"/>
    <s v="ORD5269"/>
    <x v="4"/>
    <x v="2"/>
    <x v="2"/>
    <n v="3815"/>
    <n v="572.25"/>
    <n v="5"/>
  </r>
  <r>
    <x v="240"/>
    <s v="ORD3851"/>
    <x v="5"/>
    <x v="1"/>
    <x v="2"/>
    <n v="74992"/>
    <n v="11248.8"/>
    <n v="5"/>
  </r>
  <r>
    <x v="246"/>
    <s v="ORD1587"/>
    <x v="0"/>
    <x v="0"/>
    <x v="0"/>
    <n v="47974"/>
    <n v="7196.0999999999995"/>
    <n v="5"/>
  </r>
  <r>
    <x v="200"/>
    <s v="ORD4177"/>
    <x v="0"/>
    <x v="0"/>
    <x v="2"/>
    <n v="38239"/>
    <n v="5735.8499999999995"/>
    <n v="3"/>
  </r>
  <r>
    <x v="65"/>
    <s v="ORD3840"/>
    <x v="4"/>
    <x v="2"/>
    <x v="1"/>
    <n v="77262"/>
    <n v="11589.3"/>
    <n v="5"/>
  </r>
  <r>
    <x v="226"/>
    <s v="ORD8950"/>
    <x v="1"/>
    <x v="1"/>
    <x v="1"/>
    <n v="68396"/>
    <n v="10259.4"/>
    <n v="5"/>
  </r>
  <r>
    <x v="272"/>
    <s v="ORD6489"/>
    <x v="3"/>
    <x v="0"/>
    <x v="2"/>
    <n v="36215"/>
    <n v="5432.25"/>
    <n v="2"/>
  </r>
  <r>
    <x v="28"/>
    <s v="ORD9070"/>
    <x v="2"/>
    <x v="2"/>
    <x v="1"/>
    <n v="1742"/>
    <n v="261.3"/>
    <n v="3"/>
  </r>
  <r>
    <x v="40"/>
    <s v="ORD5439"/>
    <x v="3"/>
    <x v="0"/>
    <x v="0"/>
    <n v="73059"/>
    <n v="10958.85"/>
    <n v="2"/>
  </r>
  <r>
    <x v="275"/>
    <s v="ORD9269"/>
    <x v="5"/>
    <x v="1"/>
    <x v="0"/>
    <n v="5453"/>
    <n v="817.94999999999993"/>
    <n v="4"/>
  </r>
  <r>
    <x v="270"/>
    <s v="ORD4884"/>
    <x v="3"/>
    <x v="0"/>
    <x v="1"/>
    <n v="4662"/>
    <n v="699.3"/>
    <n v="3"/>
  </r>
  <r>
    <x v="79"/>
    <s v="ORD7925"/>
    <x v="3"/>
    <x v="0"/>
    <x v="1"/>
    <n v="30638"/>
    <n v="4595.7"/>
    <n v="2"/>
  </r>
  <r>
    <x v="233"/>
    <s v="ORD2343"/>
    <x v="2"/>
    <x v="2"/>
    <x v="2"/>
    <n v="60977"/>
    <n v="9146.5499999999993"/>
    <n v="5"/>
  </r>
  <r>
    <x v="77"/>
    <s v="ORD1763"/>
    <x v="5"/>
    <x v="1"/>
    <x v="2"/>
    <n v="28071"/>
    <n v="4210.6499999999996"/>
    <n v="5"/>
  </r>
  <r>
    <x v="4"/>
    <s v="ORD6612"/>
    <x v="1"/>
    <x v="1"/>
    <x v="2"/>
    <n v="44381"/>
    <n v="6657.15"/>
    <n v="4"/>
  </r>
  <r>
    <x v="220"/>
    <s v="ORD4477"/>
    <x v="1"/>
    <x v="1"/>
    <x v="2"/>
    <n v="32974"/>
    <n v="4946.0999999999995"/>
    <n v="3"/>
  </r>
  <r>
    <x v="134"/>
    <s v="ORD8684"/>
    <x v="1"/>
    <x v="1"/>
    <x v="2"/>
    <n v="28254"/>
    <n v="4238.0999999999995"/>
    <n v="4"/>
  </r>
  <r>
    <x v="109"/>
    <s v="ORD5155"/>
    <x v="1"/>
    <x v="1"/>
    <x v="1"/>
    <n v="71542"/>
    <n v="10731.3"/>
    <n v="4"/>
  </r>
  <r>
    <x v="79"/>
    <s v="ORD1658"/>
    <x v="1"/>
    <x v="1"/>
    <x v="2"/>
    <n v="1267"/>
    <n v="190.04999999999998"/>
    <n v="3"/>
  </r>
  <r>
    <x v="152"/>
    <s v="ORD5518"/>
    <x v="2"/>
    <x v="2"/>
    <x v="3"/>
    <n v="15306"/>
    <n v="2295.9"/>
    <n v="1"/>
  </r>
  <r>
    <x v="25"/>
    <s v="ORD8849"/>
    <x v="4"/>
    <x v="2"/>
    <x v="1"/>
    <n v="37100"/>
    <n v="5565"/>
    <n v="3"/>
  </r>
  <r>
    <x v="184"/>
    <s v="ORD6967"/>
    <x v="4"/>
    <x v="2"/>
    <x v="3"/>
    <n v="13050"/>
    <n v="1957.5"/>
    <n v="2"/>
  </r>
  <r>
    <x v="212"/>
    <s v="ORD3518"/>
    <x v="3"/>
    <x v="0"/>
    <x v="0"/>
    <n v="76635"/>
    <n v="11495.25"/>
    <n v="2"/>
  </r>
  <r>
    <x v="69"/>
    <s v="ORD5522"/>
    <x v="1"/>
    <x v="1"/>
    <x v="3"/>
    <n v="10636"/>
    <n v="1595.3999999999999"/>
    <n v="1"/>
  </r>
  <r>
    <x v="185"/>
    <s v="ORD5093"/>
    <x v="3"/>
    <x v="0"/>
    <x v="0"/>
    <n v="51575"/>
    <n v="7736.25"/>
    <n v="2"/>
  </r>
  <r>
    <x v="95"/>
    <s v="ORD6133"/>
    <x v="1"/>
    <x v="1"/>
    <x v="0"/>
    <n v="48727"/>
    <n v="7309.05"/>
    <n v="4"/>
  </r>
  <r>
    <x v="265"/>
    <s v="ORD8568"/>
    <x v="1"/>
    <x v="1"/>
    <x v="0"/>
    <n v="62166"/>
    <n v="9324.9"/>
    <n v="5"/>
  </r>
  <r>
    <x v="143"/>
    <s v="ORD7604"/>
    <x v="4"/>
    <x v="2"/>
    <x v="2"/>
    <n v="74579"/>
    <n v="11186.85"/>
    <n v="2"/>
  </r>
  <r>
    <x v="214"/>
    <s v="ORD4710"/>
    <x v="2"/>
    <x v="2"/>
    <x v="2"/>
    <n v="53099"/>
    <n v="7964.8499999999995"/>
    <n v="4"/>
  </r>
  <r>
    <x v="282"/>
    <s v="ORD2143"/>
    <x v="1"/>
    <x v="1"/>
    <x v="3"/>
    <n v="33669"/>
    <n v="5050.3499999999995"/>
    <n v="1"/>
  </r>
  <r>
    <x v="3"/>
    <s v="ORD9061"/>
    <x v="0"/>
    <x v="0"/>
    <x v="2"/>
    <n v="34191"/>
    <n v="5128.6499999999996"/>
    <n v="3"/>
  </r>
  <r>
    <x v="203"/>
    <s v="ORD3745"/>
    <x v="0"/>
    <x v="0"/>
    <x v="0"/>
    <n v="39017"/>
    <n v="5852.55"/>
    <n v="3"/>
  </r>
  <r>
    <x v="150"/>
    <s v="ORD5624"/>
    <x v="4"/>
    <x v="2"/>
    <x v="3"/>
    <n v="40940"/>
    <n v="6141"/>
    <n v="1"/>
  </r>
  <r>
    <x v="92"/>
    <s v="ORD4065"/>
    <x v="5"/>
    <x v="1"/>
    <x v="2"/>
    <n v="65926"/>
    <n v="9888.9"/>
    <n v="1"/>
  </r>
  <r>
    <x v="102"/>
    <s v="ORD8281"/>
    <x v="3"/>
    <x v="0"/>
    <x v="0"/>
    <n v="25722"/>
    <n v="3858.2999999999997"/>
    <n v="1"/>
  </r>
  <r>
    <x v="91"/>
    <s v="ORD1883"/>
    <x v="5"/>
    <x v="1"/>
    <x v="0"/>
    <n v="21889"/>
    <n v="3283.35"/>
    <n v="3"/>
  </r>
  <r>
    <x v="212"/>
    <s v="ORD3426"/>
    <x v="4"/>
    <x v="2"/>
    <x v="0"/>
    <n v="68578"/>
    <n v="10286.699999999999"/>
    <n v="5"/>
  </r>
  <r>
    <x v="60"/>
    <s v="ORD8164"/>
    <x v="4"/>
    <x v="2"/>
    <x v="1"/>
    <n v="58478"/>
    <n v="8771.6999999999989"/>
    <n v="2"/>
  </r>
  <r>
    <x v="240"/>
    <s v="ORD6394"/>
    <x v="0"/>
    <x v="0"/>
    <x v="2"/>
    <n v="49738"/>
    <n v="7460.7"/>
    <n v="3"/>
  </r>
  <r>
    <x v="35"/>
    <s v="ORD7269"/>
    <x v="3"/>
    <x v="0"/>
    <x v="2"/>
    <n v="37782"/>
    <n v="5667.3"/>
    <n v="4"/>
  </r>
  <r>
    <x v="283"/>
    <s v="ORD5337"/>
    <x v="3"/>
    <x v="0"/>
    <x v="3"/>
    <n v="41237"/>
    <n v="6185.55"/>
    <n v="2"/>
  </r>
  <r>
    <x v="279"/>
    <s v="ORD1220"/>
    <x v="1"/>
    <x v="1"/>
    <x v="2"/>
    <n v="66821"/>
    <n v="10023.15"/>
    <n v="4"/>
  </r>
  <r>
    <x v="262"/>
    <s v="ORD5319"/>
    <x v="1"/>
    <x v="1"/>
    <x v="2"/>
    <n v="39546"/>
    <n v="5931.9"/>
    <n v="3"/>
  </r>
  <r>
    <x v="135"/>
    <s v="ORD7386"/>
    <x v="0"/>
    <x v="0"/>
    <x v="3"/>
    <n v="37684"/>
    <n v="5652.5999999999995"/>
    <n v="3"/>
  </r>
  <r>
    <x v="158"/>
    <s v="ORD3385"/>
    <x v="5"/>
    <x v="1"/>
    <x v="0"/>
    <n v="63479"/>
    <n v="9521.85"/>
    <n v="4"/>
  </r>
  <r>
    <x v="284"/>
    <s v="ORD8066"/>
    <x v="1"/>
    <x v="1"/>
    <x v="3"/>
    <n v="51909"/>
    <n v="7786.3499999999995"/>
    <n v="2"/>
  </r>
  <r>
    <x v="87"/>
    <s v="ORD5581"/>
    <x v="5"/>
    <x v="1"/>
    <x v="2"/>
    <n v="18132"/>
    <n v="2719.7999999999997"/>
    <n v="1"/>
  </r>
  <r>
    <x v="148"/>
    <s v="ORD9010"/>
    <x v="2"/>
    <x v="2"/>
    <x v="1"/>
    <n v="61660"/>
    <n v="9249"/>
    <n v="1"/>
  </r>
  <r>
    <x v="141"/>
    <s v="ORD5149"/>
    <x v="3"/>
    <x v="0"/>
    <x v="1"/>
    <n v="42113"/>
    <n v="6316.95"/>
    <n v="4"/>
  </r>
  <r>
    <x v="230"/>
    <s v="ORD5907"/>
    <x v="4"/>
    <x v="2"/>
    <x v="2"/>
    <n v="6156"/>
    <n v="923.4"/>
    <n v="1"/>
  </r>
  <r>
    <x v="162"/>
    <s v="ORD8842"/>
    <x v="0"/>
    <x v="0"/>
    <x v="2"/>
    <n v="66458"/>
    <n v="9968.6999999999989"/>
    <n v="1"/>
  </r>
  <r>
    <x v="285"/>
    <s v="ORD8735"/>
    <x v="0"/>
    <x v="0"/>
    <x v="0"/>
    <n v="1002"/>
    <n v="150.29999999999998"/>
    <n v="3"/>
  </r>
  <r>
    <x v="0"/>
    <s v="ORD8690"/>
    <x v="0"/>
    <x v="0"/>
    <x v="1"/>
    <n v="16619"/>
    <n v="2492.85"/>
    <n v="3"/>
  </r>
  <r>
    <x v="286"/>
    <s v="ORD9917"/>
    <x v="5"/>
    <x v="1"/>
    <x v="3"/>
    <n v="75634"/>
    <n v="11345.1"/>
    <n v="4"/>
  </r>
  <r>
    <x v="18"/>
    <s v="ORD4476"/>
    <x v="4"/>
    <x v="2"/>
    <x v="2"/>
    <n v="28116"/>
    <n v="4217.3999999999996"/>
    <n v="5"/>
  </r>
  <r>
    <x v="160"/>
    <s v="ORD8629"/>
    <x v="0"/>
    <x v="0"/>
    <x v="3"/>
    <n v="17214"/>
    <n v="2582.1"/>
    <n v="2"/>
  </r>
  <r>
    <x v="169"/>
    <s v="ORD8861"/>
    <x v="4"/>
    <x v="2"/>
    <x v="0"/>
    <n v="25100"/>
    <n v="3765"/>
    <n v="3"/>
  </r>
  <r>
    <x v="260"/>
    <s v="ORD6533"/>
    <x v="4"/>
    <x v="2"/>
    <x v="1"/>
    <n v="58761"/>
    <n v="8814.15"/>
    <n v="2"/>
  </r>
  <r>
    <x v="8"/>
    <s v="ORD8070"/>
    <x v="3"/>
    <x v="0"/>
    <x v="2"/>
    <n v="1291"/>
    <n v="193.65"/>
    <n v="5"/>
  </r>
  <r>
    <x v="108"/>
    <s v="ORD2259"/>
    <x v="5"/>
    <x v="1"/>
    <x v="1"/>
    <n v="7365"/>
    <n v="1104.75"/>
    <n v="2"/>
  </r>
  <r>
    <x v="51"/>
    <s v="ORD6547"/>
    <x v="1"/>
    <x v="1"/>
    <x v="0"/>
    <n v="32215"/>
    <n v="4832.25"/>
    <n v="4"/>
  </r>
  <r>
    <x v="24"/>
    <s v="ORD3826"/>
    <x v="1"/>
    <x v="1"/>
    <x v="2"/>
    <n v="69118"/>
    <n v="10367.699999999999"/>
    <n v="5"/>
  </r>
  <r>
    <x v="192"/>
    <s v="ORD2750"/>
    <x v="3"/>
    <x v="0"/>
    <x v="1"/>
    <n v="2374"/>
    <n v="356.09999999999997"/>
    <n v="4"/>
  </r>
  <r>
    <x v="199"/>
    <s v="ORD7218"/>
    <x v="0"/>
    <x v="0"/>
    <x v="1"/>
    <n v="44212"/>
    <n v="6631.8"/>
    <n v="3"/>
  </r>
  <r>
    <x v="287"/>
    <s v="ORD8735"/>
    <x v="4"/>
    <x v="2"/>
    <x v="1"/>
    <n v="49486"/>
    <n v="7422.9"/>
    <n v="4"/>
  </r>
  <r>
    <x v="288"/>
    <s v="ORD3513"/>
    <x v="4"/>
    <x v="2"/>
    <x v="2"/>
    <n v="28205"/>
    <n v="4230.75"/>
    <n v="3"/>
  </r>
  <r>
    <x v="142"/>
    <s v="ORD4425"/>
    <x v="4"/>
    <x v="2"/>
    <x v="1"/>
    <n v="3980"/>
    <n v="597"/>
    <n v="2"/>
  </r>
  <r>
    <x v="173"/>
    <s v="ORD6514"/>
    <x v="1"/>
    <x v="1"/>
    <x v="0"/>
    <n v="13147"/>
    <n v="1972.05"/>
    <n v="4"/>
  </r>
  <r>
    <x v="67"/>
    <s v="ORD6001"/>
    <x v="3"/>
    <x v="0"/>
    <x v="0"/>
    <n v="14455"/>
    <n v="2168.25"/>
    <n v="4"/>
  </r>
  <r>
    <x v="159"/>
    <s v="ORD9744"/>
    <x v="4"/>
    <x v="2"/>
    <x v="2"/>
    <n v="5001"/>
    <n v="750.15"/>
    <n v="5"/>
  </r>
  <r>
    <x v="124"/>
    <s v="ORD4856"/>
    <x v="3"/>
    <x v="0"/>
    <x v="2"/>
    <n v="31589"/>
    <n v="4738.3499999999995"/>
    <n v="3"/>
  </r>
  <r>
    <x v="42"/>
    <s v="ORD5293"/>
    <x v="1"/>
    <x v="1"/>
    <x v="1"/>
    <n v="55589"/>
    <n v="8338.35"/>
    <n v="5"/>
  </r>
  <r>
    <x v="289"/>
    <s v="ORD4335"/>
    <x v="3"/>
    <x v="0"/>
    <x v="1"/>
    <n v="4190"/>
    <n v="628.5"/>
    <n v="3"/>
  </r>
  <r>
    <x v="45"/>
    <s v="ORD5003"/>
    <x v="1"/>
    <x v="1"/>
    <x v="3"/>
    <n v="1730"/>
    <n v="259.5"/>
    <n v="4"/>
  </r>
  <r>
    <x v="192"/>
    <s v="ORD6585"/>
    <x v="0"/>
    <x v="0"/>
    <x v="1"/>
    <n v="22218"/>
    <n v="3332.7"/>
    <n v="3"/>
  </r>
  <r>
    <x v="169"/>
    <s v="ORD7028"/>
    <x v="4"/>
    <x v="2"/>
    <x v="1"/>
    <n v="2864"/>
    <n v="429.59999999999997"/>
    <n v="1"/>
  </r>
  <r>
    <x v="28"/>
    <s v="ORD2400"/>
    <x v="1"/>
    <x v="1"/>
    <x v="1"/>
    <n v="1265"/>
    <n v="189.75"/>
    <n v="1"/>
  </r>
  <r>
    <x v="194"/>
    <s v="ORD5621"/>
    <x v="4"/>
    <x v="2"/>
    <x v="2"/>
    <n v="20493"/>
    <n v="3073.95"/>
    <n v="5"/>
  </r>
  <r>
    <x v="220"/>
    <s v="ORD7631"/>
    <x v="2"/>
    <x v="2"/>
    <x v="2"/>
    <n v="51624"/>
    <n v="7743.5999999999995"/>
    <n v="1"/>
  </r>
  <r>
    <x v="58"/>
    <s v="ORD9511"/>
    <x v="3"/>
    <x v="0"/>
    <x v="3"/>
    <n v="1949"/>
    <n v="292.34999999999997"/>
    <n v="2"/>
  </r>
  <r>
    <x v="290"/>
    <s v="ORD7106"/>
    <x v="0"/>
    <x v="0"/>
    <x v="3"/>
    <n v="59040"/>
    <n v="8856"/>
    <n v="5"/>
  </r>
  <r>
    <x v="13"/>
    <s v="ORD9249"/>
    <x v="3"/>
    <x v="0"/>
    <x v="0"/>
    <n v="32793"/>
    <n v="4918.95"/>
    <n v="2"/>
  </r>
  <r>
    <x v="68"/>
    <s v="ORD5986"/>
    <x v="1"/>
    <x v="1"/>
    <x v="1"/>
    <n v="69967"/>
    <n v="10495.05"/>
    <n v="5"/>
  </r>
  <r>
    <x v="218"/>
    <s v="ORD8801"/>
    <x v="3"/>
    <x v="0"/>
    <x v="1"/>
    <n v="62059"/>
    <n v="9308.85"/>
    <n v="1"/>
  </r>
  <r>
    <x v="48"/>
    <s v="ORD1436"/>
    <x v="5"/>
    <x v="1"/>
    <x v="3"/>
    <n v="22671"/>
    <n v="3400.65"/>
    <n v="5"/>
  </r>
  <r>
    <x v="99"/>
    <s v="ORD8718"/>
    <x v="4"/>
    <x v="2"/>
    <x v="0"/>
    <n v="17935"/>
    <n v="2690.25"/>
    <n v="4"/>
  </r>
  <r>
    <x v="291"/>
    <s v="ORD6823"/>
    <x v="0"/>
    <x v="0"/>
    <x v="0"/>
    <n v="23973"/>
    <n v="3595.95"/>
    <n v="4"/>
  </r>
  <r>
    <x v="25"/>
    <s v="ORD2913"/>
    <x v="2"/>
    <x v="2"/>
    <x v="1"/>
    <n v="6648"/>
    <n v="997.19999999999993"/>
    <n v="4"/>
  </r>
  <r>
    <x v="90"/>
    <s v="ORD1853"/>
    <x v="1"/>
    <x v="1"/>
    <x v="1"/>
    <n v="15594"/>
    <n v="2339.1"/>
    <n v="1"/>
  </r>
  <r>
    <x v="292"/>
    <s v="ORD5117"/>
    <x v="4"/>
    <x v="2"/>
    <x v="2"/>
    <n v="43642"/>
    <n v="6546.3"/>
    <n v="2"/>
  </r>
  <r>
    <x v="99"/>
    <s v="ORD6316"/>
    <x v="4"/>
    <x v="2"/>
    <x v="3"/>
    <n v="76224"/>
    <n v="11433.6"/>
    <n v="5"/>
  </r>
  <r>
    <x v="288"/>
    <s v="ORD5684"/>
    <x v="4"/>
    <x v="2"/>
    <x v="0"/>
    <n v="46808"/>
    <n v="7021.2"/>
    <n v="1"/>
  </r>
  <r>
    <x v="99"/>
    <s v="ORD1207"/>
    <x v="5"/>
    <x v="1"/>
    <x v="1"/>
    <n v="31174"/>
    <n v="4676.0999999999995"/>
    <n v="5"/>
  </r>
  <r>
    <x v="293"/>
    <s v="ORD5737"/>
    <x v="4"/>
    <x v="2"/>
    <x v="1"/>
    <n v="37480"/>
    <n v="5622"/>
    <n v="4"/>
  </r>
  <r>
    <x v="258"/>
    <s v="ORD7352"/>
    <x v="5"/>
    <x v="1"/>
    <x v="0"/>
    <n v="77620"/>
    <n v="11643"/>
    <n v="4"/>
  </r>
  <r>
    <x v="294"/>
    <s v="ORD5439"/>
    <x v="5"/>
    <x v="1"/>
    <x v="3"/>
    <n v="39820"/>
    <n v="5973"/>
    <n v="1"/>
  </r>
  <r>
    <x v="49"/>
    <s v="ORD7739"/>
    <x v="1"/>
    <x v="1"/>
    <x v="1"/>
    <n v="14998"/>
    <n v="2249.6999999999998"/>
    <n v="3"/>
  </r>
  <r>
    <x v="237"/>
    <s v="ORD7353"/>
    <x v="3"/>
    <x v="0"/>
    <x v="2"/>
    <n v="20079"/>
    <n v="3011.85"/>
    <n v="1"/>
  </r>
  <r>
    <x v="230"/>
    <s v="ORD5536"/>
    <x v="2"/>
    <x v="2"/>
    <x v="2"/>
    <n v="3797"/>
    <n v="569.54999999999995"/>
    <n v="4"/>
  </r>
  <r>
    <x v="123"/>
    <s v="ORD2436"/>
    <x v="2"/>
    <x v="2"/>
    <x v="1"/>
    <n v="71038"/>
    <n v="10655.699999999999"/>
    <n v="4"/>
  </r>
  <r>
    <x v="212"/>
    <s v="ORD6858"/>
    <x v="4"/>
    <x v="2"/>
    <x v="3"/>
    <n v="67938"/>
    <n v="10190.699999999999"/>
    <n v="3"/>
  </r>
  <r>
    <x v="114"/>
    <s v="ORD9564"/>
    <x v="1"/>
    <x v="1"/>
    <x v="3"/>
    <n v="7078"/>
    <n v="1061.7"/>
    <n v="1"/>
  </r>
  <r>
    <x v="57"/>
    <s v="ORD6194"/>
    <x v="3"/>
    <x v="0"/>
    <x v="2"/>
    <n v="52033"/>
    <n v="7804.95"/>
    <n v="4"/>
  </r>
  <r>
    <x v="188"/>
    <s v="ORD3526"/>
    <x v="1"/>
    <x v="1"/>
    <x v="3"/>
    <n v="17224"/>
    <n v="2583.6"/>
    <n v="1"/>
  </r>
  <r>
    <x v="17"/>
    <s v="ORD9826"/>
    <x v="0"/>
    <x v="0"/>
    <x v="2"/>
    <n v="74221"/>
    <n v="11133.15"/>
    <n v="2"/>
  </r>
  <r>
    <x v="295"/>
    <s v="ORD7520"/>
    <x v="2"/>
    <x v="2"/>
    <x v="1"/>
    <n v="47375"/>
    <n v="7106.25"/>
    <n v="5"/>
  </r>
  <r>
    <x v="265"/>
    <s v="ORD5420"/>
    <x v="5"/>
    <x v="1"/>
    <x v="1"/>
    <n v="9426"/>
    <n v="1413.8999999999999"/>
    <n v="5"/>
  </r>
  <r>
    <x v="236"/>
    <s v="ORD6488"/>
    <x v="3"/>
    <x v="0"/>
    <x v="2"/>
    <n v="1572"/>
    <n v="235.79999999999998"/>
    <n v="3"/>
  </r>
  <r>
    <x v="296"/>
    <s v="ORD8752"/>
    <x v="4"/>
    <x v="2"/>
    <x v="1"/>
    <n v="55605"/>
    <n v="8340.75"/>
    <n v="2"/>
  </r>
  <r>
    <x v="19"/>
    <s v="ORD9700"/>
    <x v="3"/>
    <x v="0"/>
    <x v="2"/>
    <n v="60442"/>
    <n v="9066.2999999999993"/>
    <n v="5"/>
  </r>
  <r>
    <x v="119"/>
    <s v="ORD1615"/>
    <x v="4"/>
    <x v="2"/>
    <x v="0"/>
    <n v="63297"/>
    <n v="9494.5499999999993"/>
    <n v="3"/>
  </r>
  <r>
    <x v="100"/>
    <s v="ORD2300"/>
    <x v="5"/>
    <x v="1"/>
    <x v="1"/>
    <n v="48058"/>
    <n v="7208.7"/>
    <n v="4"/>
  </r>
  <r>
    <x v="26"/>
    <s v="ORD7669"/>
    <x v="0"/>
    <x v="0"/>
    <x v="0"/>
    <n v="3791"/>
    <n v="568.65"/>
    <n v="2"/>
  </r>
  <r>
    <x v="31"/>
    <s v="ORD4724"/>
    <x v="4"/>
    <x v="2"/>
    <x v="0"/>
    <n v="8152"/>
    <n v="1222.8"/>
    <n v="5"/>
  </r>
  <r>
    <x v="219"/>
    <s v="ORD2389"/>
    <x v="0"/>
    <x v="0"/>
    <x v="3"/>
    <n v="38879"/>
    <n v="5831.8499999999995"/>
    <n v="2"/>
  </r>
  <r>
    <x v="87"/>
    <s v="ORD3355"/>
    <x v="0"/>
    <x v="0"/>
    <x v="1"/>
    <n v="46324"/>
    <n v="6948.5999999999995"/>
    <n v="5"/>
  </r>
  <r>
    <x v="226"/>
    <s v="ORD8076"/>
    <x v="0"/>
    <x v="0"/>
    <x v="0"/>
    <n v="43631"/>
    <n v="6544.65"/>
    <n v="4"/>
  </r>
  <r>
    <x v="254"/>
    <s v="ORD3213"/>
    <x v="2"/>
    <x v="2"/>
    <x v="0"/>
    <n v="55132"/>
    <n v="8269.7999999999993"/>
    <n v="3"/>
  </r>
  <r>
    <x v="297"/>
    <s v="ORD9170"/>
    <x v="2"/>
    <x v="2"/>
    <x v="3"/>
    <n v="54023"/>
    <n v="8103.45"/>
    <n v="3"/>
  </r>
  <r>
    <x v="45"/>
    <s v="ORD6758"/>
    <x v="2"/>
    <x v="2"/>
    <x v="1"/>
    <n v="42605"/>
    <n v="6390.75"/>
    <n v="1"/>
  </r>
  <r>
    <x v="71"/>
    <s v="ORD5542"/>
    <x v="3"/>
    <x v="0"/>
    <x v="1"/>
    <n v="57189"/>
    <n v="8578.35"/>
    <n v="4"/>
  </r>
  <r>
    <x v="156"/>
    <s v="ORD4385"/>
    <x v="1"/>
    <x v="1"/>
    <x v="1"/>
    <n v="33296"/>
    <n v="4994.3999999999996"/>
    <n v="3"/>
  </r>
  <r>
    <x v="215"/>
    <s v="ORD2483"/>
    <x v="3"/>
    <x v="0"/>
    <x v="1"/>
    <n v="16666"/>
    <n v="2499.9"/>
    <n v="1"/>
  </r>
  <r>
    <x v="298"/>
    <s v="ORD9180"/>
    <x v="4"/>
    <x v="2"/>
    <x v="3"/>
    <n v="14781"/>
    <n v="2217.15"/>
    <n v="1"/>
  </r>
  <r>
    <x v="269"/>
    <s v="ORD4192"/>
    <x v="0"/>
    <x v="0"/>
    <x v="2"/>
    <n v="39370"/>
    <n v="5905.5"/>
    <n v="3"/>
  </r>
  <r>
    <x v="181"/>
    <s v="ORD9134"/>
    <x v="5"/>
    <x v="1"/>
    <x v="2"/>
    <n v="17718"/>
    <n v="2657.7"/>
    <n v="5"/>
  </r>
  <r>
    <x v="4"/>
    <s v="ORD6206"/>
    <x v="5"/>
    <x v="1"/>
    <x v="2"/>
    <n v="23617"/>
    <n v="3542.5499999999997"/>
    <n v="5"/>
  </r>
  <r>
    <x v="257"/>
    <s v="ORD4909"/>
    <x v="5"/>
    <x v="1"/>
    <x v="1"/>
    <n v="16906"/>
    <n v="2535.9"/>
    <n v="2"/>
  </r>
  <r>
    <x v="107"/>
    <s v="ORD5978"/>
    <x v="0"/>
    <x v="0"/>
    <x v="1"/>
    <n v="51837"/>
    <n v="7775.5499999999993"/>
    <n v="5"/>
  </r>
  <r>
    <x v="27"/>
    <s v="ORD5188"/>
    <x v="2"/>
    <x v="2"/>
    <x v="1"/>
    <n v="63944"/>
    <n v="9591.6"/>
    <n v="3"/>
  </r>
  <r>
    <x v="6"/>
    <s v="ORD3449"/>
    <x v="2"/>
    <x v="2"/>
    <x v="2"/>
    <n v="34511"/>
    <n v="5176.6499999999996"/>
    <n v="4"/>
  </r>
  <r>
    <x v="72"/>
    <s v="ORD5993"/>
    <x v="4"/>
    <x v="2"/>
    <x v="1"/>
    <n v="5994"/>
    <n v="899.1"/>
    <n v="4"/>
  </r>
  <r>
    <x v="72"/>
    <s v="ORD2872"/>
    <x v="5"/>
    <x v="1"/>
    <x v="1"/>
    <n v="38819"/>
    <n v="5822.8499999999995"/>
    <n v="3"/>
  </r>
  <r>
    <x v="103"/>
    <s v="ORD7834"/>
    <x v="3"/>
    <x v="0"/>
    <x v="0"/>
    <n v="33889"/>
    <n v="5083.3499999999995"/>
    <n v="5"/>
  </r>
  <r>
    <x v="174"/>
    <s v="ORD6318"/>
    <x v="0"/>
    <x v="0"/>
    <x v="0"/>
    <n v="77783"/>
    <n v="11667.449999999999"/>
    <n v="1"/>
  </r>
  <r>
    <x v="68"/>
    <s v="ORD6702"/>
    <x v="3"/>
    <x v="0"/>
    <x v="3"/>
    <n v="19199"/>
    <n v="2879.85"/>
    <n v="4"/>
  </r>
  <r>
    <x v="84"/>
    <s v="ORD5875"/>
    <x v="1"/>
    <x v="1"/>
    <x v="2"/>
    <n v="19137"/>
    <n v="2870.5499999999997"/>
    <n v="3"/>
  </r>
  <r>
    <x v="299"/>
    <s v="ORD5857"/>
    <x v="5"/>
    <x v="1"/>
    <x v="3"/>
    <n v="13161"/>
    <n v="1974.1499999999999"/>
    <n v="2"/>
  </r>
  <r>
    <x v="260"/>
    <s v="ORD9057"/>
    <x v="3"/>
    <x v="0"/>
    <x v="3"/>
    <n v="41183"/>
    <n v="6177.45"/>
    <n v="2"/>
  </r>
  <r>
    <x v="219"/>
    <s v="ORD1676"/>
    <x v="5"/>
    <x v="1"/>
    <x v="0"/>
    <n v="19463"/>
    <n v="2919.45"/>
    <n v="3"/>
  </r>
  <r>
    <x v="300"/>
    <s v="ORD3086"/>
    <x v="0"/>
    <x v="0"/>
    <x v="0"/>
    <n v="74313"/>
    <n v="11146.949999999999"/>
    <n v="4"/>
  </r>
  <r>
    <x v="102"/>
    <s v="ORD4459"/>
    <x v="4"/>
    <x v="2"/>
    <x v="1"/>
    <n v="48182"/>
    <n v="7227.3"/>
    <n v="3"/>
  </r>
  <r>
    <x v="197"/>
    <s v="ORD4015"/>
    <x v="3"/>
    <x v="0"/>
    <x v="1"/>
    <n v="23196"/>
    <n v="3479.4"/>
    <n v="2"/>
  </r>
  <r>
    <x v="202"/>
    <s v="ORD3873"/>
    <x v="3"/>
    <x v="0"/>
    <x v="3"/>
    <n v="54604"/>
    <n v="8190.5999999999995"/>
    <n v="5"/>
  </r>
  <r>
    <x v="136"/>
    <s v="ORD5614"/>
    <x v="1"/>
    <x v="1"/>
    <x v="2"/>
    <n v="57271"/>
    <n v="8590.65"/>
    <n v="4"/>
  </r>
  <r>
    <x v="49"/>
    <s v="ORD7203"/>
    <x v="3"/>
    <x v="0"/>
    <x v="0"/>
    <n v="73113"/>
    <n v="10966.949999999999"/>
    <n v="3"/>
  </r>
  <r>
    <x v="180"/>
    <s v="ORD9133"/>
    <x v="1"/>
    <x v="1"/>
    <x v="2"/>
    <n v="75372"/>
    <n v="11305.8"/>
    <n v="4"/>
  </r>
  <r>
    <x v="27"/>
    <s v="ORD5232"/>
    <x v="2"/>
    <x v="2"/>
    <x v="3"/>
    <n v="15182"/>
    <n v="2277.2999999999997"/>
    <n v="4"/>
  </r>
  <r>
    <x v="105"/>
    <s v="ORD7168"/>
    <x v="3"/>
    <x v="0"/>
    <x v="0"/>
    <n v="78536"/>
    <n v="11780.4"/>
    <n v="4"/>
  </r>
  <r>
    <x v="89"/>
    <s v="ORD9161"/>
    <x v="1"/>
    <x v="1"/>
    <x v="3"/>
    <n v="17526"/>
    <n v="2628.9"/>
    <n v="1"/>
  </r>
  <r>
    <x v="79"/>
    <s v="ORD5570"/>
    <x v="4"/>
    <x v="2"/>
    <x v="0"/>
    <n v="35083"/>
    <n v="5262.45"/>
    <n v="2"/>
  </r>
  <r>
    <x v="186"/>
    <s v="ORD9263"/>
    <x v="5"/>
    <x v="1"/>
    <x v="1"/>
    <n v="67162"/>
    <n v="10074.299999999999"/>
    <n v="4"/>
  </r>
  <r>
    <x v="86"/>
    <s v="ORD6855"/>
    <x v="4"/>
    <x v="2"/>
    <x v="3"/>
    <n v="23034"/>
    <n v="3455.1"/>
    <n v="1"/>
  </r>
  <r>
    <x v="177"/>
    <s v="ORD7004"/>
    <x v="2"/>
    <x v="2"/>
    <x v="3"/>
    <n v="10798"/>
    <n v="1619.7"/>
    <n v="3"/>
  </r>
  <r>
    <x v="263"/>
    <s v="ORD2241"/>
    <x v="1"/>
    <x v="1"/>
    <x v="2"/>
    <n v="18000"/>
    <n v="2700"/>
    <n v="1"/>
  </r>
  <r>
    <x v="48"/>
    <s v="ORD5930"/>
    <x v="4"/>
    <x v="2"/>
    <x v="0"/>
    <n v="38416"/>
    <n v="5762.4"/>
    <n v="5"/>
  </r>
  <r>
    <x v="147"/>
    <s v="ORD9237"/>
    <x v="5"/>
    <x v="1"/>
    <x v="0"/>
    <n v="4813"/>
    <n v="721.94999999999993"/>
    <n v="2"/>
  </r>
  <r>
    <x v="118"/>
    <s v="ORD3254"/>
    <x v="3"/>
    <x v="0"/>
    <x v="3"/>
    <n v="25365"/>
    <n v="3804.75"/>
    <n v="5"/>
  </r>
  <r>
    <x v="300"/>
    <s v="ORD1374"/>
    <x v="4"/>
    <x v="2"/>
    <x v="1"/>
    <n v="18056"/>
    <n v="2708.4"/>
    <n v="2"/>
  </r>
  <r>
    <x v="301"/>
    <s v="ORD5413"/>
    <x v="0"/>
    <x v="0"/>
    <x v="2"/>
    <n v="54980"/>
    <n v="8247"/>
    <n v="3"/>
  </r>
  <r>
    <x v="27"/>
    <s v="ORD9572"/>
    <x v="5"/>
    <x v="1"/>
    <x v="0"/>
    <n v="31858"/>
    <n v="4778.7"/>
    <n v="3"/>
  </r>
  <r>
    <x v="46"/>
    <s v="ORD8459"/>
    <x v="5"/>
    <x v="1"/>
    <x v="1"/>
    <n v="21633"/>
    <n v="3244.95"/>
    <n v="4"/>
  </r>
  <r>
    <x v="229"/>
    <s v="ORD1190"/>
    <x v="2"/>
    <x v="2"/>
    <x v="3"/>
    <n v="64952"/>
    <n v="9742.7999999999993"/>
    <n v="4"/>
  </r>
  <r>
    <x v="22"/>
    <s v="ORD7965"/>
    <x v="4"/>
    <x v="2"/>
    <x v="3"/>
    <n v="28205"/>
    <n v="4230.75"/>
    <n v="2"/>
  </r>
  <r>
    <x v="110"/>
    <s v="ORD4009"/>
    <x v="1"/>
    <x v="1"/>
    <x v="0"/>
    <n v="41570"/>
    <n v="6235.5"/>
    <n v="1"/>
  </r>
  <r>
    <x v="26"/>
    <s v="ORD9659"/>
    <x v="5"/>
    <x v="1"/>
    <x v="1"/>
    <n v="44449"/>
    <n v="6667.3499999999995"/>
    <n v="1"/>
  </r>
  <r>
    <x v="142"/>
    <s v="ORD7021"/>
    <x v="4"/>
    <x v="2"/>
    <x v="0"/>
    <n v="58998"/>
    <n v="8849.6999999999989"/>
    <n v="1"/>
  </r>
  <r>
    <x v="45"/>
    <s v="ORD9333"/>
    <x v="5"/>
    <x v="1"/>
    <x v="2"/>
    <n v="37575"/>
    <n v="5636.25"/>
    <n v="3"/>
  </r>
  <r>
    <x v="238"/>
    <s v="ORD9816"/>
    <x v="1"/>
    <x v="1"/>
    <x v="3"/>
    <n v="35136"/>
    <n v="5270.4"/>
    <n v="4"/>
  </r>
  <r>
    <x v="66"/>
    <s v="ORD1550"/>
    <x v="3"/>
    <x v="0"/>
    <x v="1"/>
    <n v="38251"/>
    <n v="5737.65"/>
    <n v="1"/>
  </r>
  <r>
    <x v="260"/>
    <s v="ORD9410"/>
    <x v="0"/>
    <x v="0"/>
    <x v="2"/>
    <n v="69963"/>
    <n v="10494.449999999999"/>
    <n v="5"/>
  </r>
  <r>
    <x v="249"/>
    <s v="ORD1347"/>
    <x v="3"/>
    <x v="0"/>
    <x v="0"/>
    <n v="12985"/>
    <n v="1947.75"/>
    <n v="1"/>
  </r>
  <r>
    <x v="83"/>
    <s v="ORD5557"/>
    <x v="4"/>
    <x v="2"/>
    <x v="2"/>
    <n v="60347"/>
    <n v="9052.0499999999993"/>
    <n v="1"/>
  </r>
  <r>
    <x v="216"/>
    <s v="ORD1462"/>
    <x v="0"/>
    <x v="0"/>
    <x v="3"/>
    <n v="22388"/>
    <n v="3358.2"/>
    <n v="5"/>
  </r>
  <r>
    <x v="273"/>
    <s v="ORD8613"/>
    <x v="0"/>
    <x v="0"/>
    <x v="2"/>
    <n v="33197"/>
    <n v="4979.55"/>
    <n v="2"/>
  </r>
  <r>
    <x v="134"/>
    <s v="ORD9490"/>
    <x v="3"/>
    <x v="0"/>
    <x v="2"/>
    <n v="21555"/>
    <n v="3233.25"/>
    <n v="4"/>
  </r>
  <r>
    <x v="206"/>
    <s v="ORD9245"/>
    <x v="1"/>
    <x v="1"/>
    <x v="2"/>
    <n v="3082"/>
    <n v="462.29999999999995"/>
    <n v="1"/>
  </r>
  <r>
    <x v="145"/>
    <s v="ORD2669"/>
    <x v="0"/>
    <x v="0"/>
    <x v="1"/>
    <n v="31524"/>
    <n v="4728.5999999999995"/>
    <n v="1"/>
  </r>
  <r>
    <x v="302"/>
    <s v="ORD5767"/>
    <x v="1"/>
    <x v="1"/>
    <x v="1"/>
    <n v="46103"/>
    <n v="6915.45"/>
    <n v="1"/>
  </r>
  <r>
    <x v="127"/>
    <s v="ORD2024"/>
    <x v="1"/>
    <x v="1"/>
    <x v="1"/>
    <n v="10205"/>
    <n v="1530.75"/>
    <n v="4"/>
  </r>
  <r>
    <x v="223"/>
    <s v="ORD9154"/>
    <x v="5"/>
    <x v="1"/>
    <x v="2"/>
    <n v="68863"/>
    <n v="10329.449999999999"/>
    <n v="5"/>
  </r>
  <r>
    <x v="238"/>
    <s v="ORD8196"/>
    <x v="5"/>
    <x v="1"/>
    <x v="3"/>
    <n v="39843"/>
    <n v="5976.45"/>
    <n v="1"/>
  </r>
  <r>
    <x v="303"/>
    <s v="ORD9754"/>
    <x v="2"/>
    <x v="2"/>
    <x v="1"/>
    <n v="27320"/>
    <n v="4098"/>
    <n v="5"/>
  </r>
  <r>
    <x v="188"/>
    <s v="ORD6613"/>
    <x v="2"/>
    <x v="2"/>
    <x v="1"/>
    <n v="23204"/>
    <n v="3480.6"/>
    <n v="3"/>
  </r>
  <r>
    <x v="104"/>
    <s v="ORD2890"/>
    <x v="2"/>
    <x v="2"/>
    <x v="2"/>
    <n v="8101"/>
    <n v="1215.1499999999999"/>
    <n v="1"/>
  </r>
  <r>
    <x v="105"/>
    <s v="ORD6522"/>
    <x v="5"/>
    <x v="1"/>
    <x v="0"/>
    <n v="12013"/>
    <n v="1801.95"/>
    <n v="1"/>
  </r>
  <r>
    <x v="78"/>
    <s v="ORD3358"/>
    <x v="1"/>
    <x v="1"/>
    <x v="1"/>
    <n v="3801"/>
    <n v="570.15"/>
    <n v="1"/>
  </r>
  <r>
    <x v="249"/>
    <s v="ORD9272"/>
    <x v="5"/>
    <x v="1"/>
    <x v="0"/>
    <n v="49263"/>
    <n v="7389.45"/>
    <n v="4"/>
  </r>
  <r>
    <x v="227"/>
    <s v="ORD6210"/>
    <x v="1"/>
    <x v="1"/>
    <x v="1"/>
    <n v="78121"/>
    <n v="11718.15"/>
    <n v="3"/>
  </r>
  <r>
    <x v="51"/>
    <s v="ORD1761"/>
    <x v="5"/>
    <x v="1"/>
    <x v="0"/>
    <n v="31451"/>
    <n v="4717.6499999999996"/>
    <n v="5"/>
  </r>
  <r>
    <x v="216"/>
    <s v="ORD7070"/>
    <x v="0"/>
    <x v="0"/>
    <x v="1"/>
    <n v="17279"/>
    <n v="2591.85"/>
    <n v="2"/>
  </r>
  <r>
    <x v="219"/>
    <s v="ORD8453"/>
    <x v="0"/>
    <x v="0"/>
    <x v="1"/>
    <n v="20861"/>
    <n v="3129.15"/>
    <n v="1"/>
  </r>
  <r>
    <x v="243"/>
    <s v="ORD9596"/>
    <x v="1"/>
    <x v="1"/>
    <x v="3"/>
    <n v="32862"/>
    <n v="4929.3"/>
    <n v="3"/>
  </r>
  <r>
    <x v="89"/>
    <s v="ORD4811"/>
    <x v="2"/>
    <x v="2"/>
    <x v="0"/>
    <n v="76084"/>
    <n v="11412.6"/>
    <n v="1"/>
  </r>
  <r>
    <x v="125"/>
    <s v="ORD9861"/>
    <x v="5"/>
    <x v="1"/>
    <x v="2"/>
    <n v="1130"/>
    <n v="169.5"/>
    <n v="4"/>
  </r>
  <r>
    <x v="236"/>
    <s v="ORD9428"/>
    <x v="1"/>
    <x v="1"/>
    <x v="1"/>
    <n v="39418"/>
    <n v="5912.7"/>
    <n v="5"/>
  </r>
  <r>
    <x v="200"/>
    <s v="ORD7702"/>
    <x v="1"/>
    <x v="1"/>
    <x v="3"/>
    <n v="48267"/>
    <n v="7240.05"/>
    <n v="5"/>
  </r>
  <r>
    <x v="104"/>
    <s v="ORD4518"/>
    <x v="1"/>
    <x v="1"/>
    <x v="0"/>
    <n v="62012"/>
    <n v="9301.7999999999993"/>
    <n v="1"/>
  </r>
  <r>
    <x v="193"/>
    <s v="ORD7494"/>
    <x v="5"/>
    <x v="1"/>
    <x v="0"/>
    <n v="659"/>
    <n v="98.85"/>
    <n v="3"/>
  </r>
  <r>
    <x v="256"/>
    <s v="ORD6716"/>
    <x v="1"/>
    <x v="1"/>
    <x v="2"/>
    <n v="15732"/>
    <n v="2359.7999999999997"/>
    <n v="4"/>
  </r>
  <r>
    <x v="22"/>
    <s v="ORD3115"/>
    <x v="0"/>
    <x v="0"/>
    <x v="2"/>
    <n v="48006"/>
    <n v="7200.9"/>
    <n v="2"/>
  </r>
  <r>
    <x v="203"/>
    <s v="ORD8645"/>
    <x v="0"/>
    <x v="0"/>
    <x v="2"/>
    <n v="79960"/>
    <n v="11994"/>
    <n v="5"/>
  </r>
  <r>
    <x v="57"/>
    <s v="ORD3880"/>
    <x v="3"/>
    <x v="0"/>
    <x v="0"/>
    <n v="60846"/>
    <n v="9126.9"/>
    <n v="1"/>
  </r>
  <r>
    <x v="284"/>
    <s v="ORD6499"/>
    <x v="5"/>
    <x v="1"/>
    <x v="0"/>
    <n v="61701"/>
    <n v="9255.15"/>
    <n v="3"/>
  </r>
  <r>
    <x v="40"/>
    <s v="ORD8567"/>
    <x v="4"/>
    <x v="2"/>
    <x v="3"/>
    <n v="68569"/>
    <n v="10285.35"/>
    <n v="1"/>
  </r>
  <r>
    <x v="47"/>
    <s v="ORD3327"/>
    <x v="1"/>
    <x v="1"/>
    <x v="1"/>
    <n v="37045"/>
    <n v="5556.75"/>
    <n v="1"/>
  </r>
  <r>
    <x v="226"/>
    <s v="ORD7140"/>
    <x v="3"/>
    <x v="0"/>
    <x v="3"/>
    <n v="25177"/>
    <n v="3776.5499999999997"/>
    <n v="1"/>
  </r>
  <r>
    <x v="164"/>
    <s v="ORD3582"/>
    <x v="1"/>
    <x v="1"/>
    <x v="1"/>
    <n v="55511"/>
    <n v="8326.65"/>
    <n v="3"/>
  </r>
  <r>
    <x v="29"/>
    <s v="ORD5822"/>
    <x v="2"/>
    <x v="2"/>
    <x v="3"/>
    <n v="42411"/>
    <n v="6361.65"/>
    <n v="5"/>
  </r>
  <r>
    <x v="24"/>
    <s v="ORD3151"/>
    <x v="0"/>
    <x v="0"/>
    <x v="3"/>
    <n v="26767"/>
    <n v="4015.0499999999997"/>
    <n v="1"/>
  </r>
  <r>
    <x v="304"/>
    <s v="ORD3199"/>
    <x v="0"/>
    <x v="0"/>
    <x v="3"/>
    <n v="12341"/>
    <n v="1851.1499999999999"/>
    <n v="4"/>
  </r>
  <r>
    <x v="191"/>
    <s v="ORD3607"/>
    <x v="5"/>
    <x v="1"/>
    <x v="0"/>
    <n v="16813"/>
    <n v="2521.9499999999998"/>
    <n v="4"/>
  </r>
  <r>
    <x v="123"/>
    <s v="ORD1220"/>
    <x v="1"/>
    <x v="1"/>
    <x v="1"/>
    <n v="30503"/>
    <n v="4575.45"/>
    <n v="3"/>
  </r>
  <r>
    <x v="19"/>
    <s v="ORD8429"/>
    <x v="3"/>
    <x v="0"/>
    <x v="2"/>
    <n v="48449"/>
    <n v="7267.3499999999995"/>
    <n v="5"/>
  </r>
  <r>
    <x v="90"/>
    <s v="ORD6331"/>
    <x v="5"/>
    <x v="1"/>
    <x v="1"/>
    <n v="29048"/>
    <n v="4357.2"/>
    <n v="3"/>
  </r>
  <r>
    <x v="13"/>
    <s v="ORD9975"/>
    <x v="1"/>
    <x v="1"/>
    <x v="3"/>
    <n v="41288"/>
    <n v="6193.2"/>
    <n v="5"/>
  </r>
  <r>
    <x v="264"/>
    <s v="ORD8093"/>
    <x v="3"/>
    <x v="0"/>
    <x v="1"/>
    <n v="6085"/>
    <n v="912.75"/>
    <n v="2"/>
  </r>
  <r>
    <x v="226"/>
    <s v="ORD4754"/>
    <x v="0"/>
    <x v="0"/>
    <x v="2"/>
    <n v="6518"/>
    <n v="977.69999999999993"/>
    <n v="5"/>
  </r>
  <r>
    <x v="305"/>
    <s v="ORD5928"/>
    <x v="5"/>
    <x v="1"/>
    <x v="3"/>
    <n v="38373"/>
    <n v="5755.95"/>
    <n v="1"/>
  </r>
  <r>
    <x v="301"/>
    <s v="ORD9163"/>
    <x v="5"/>
    <x v="1"/>
    <x v="2"/>
    <n v="27439"/>
    <n v="4115.8499999999995"/>
    <n v="5"/>
  </r>
  <r>
    <x v="17"/>
    <s v="ORD4548"/>
    <x v="1"/>
    <x v="1"/>
    <x v="3"/>
    <n v="31512"/>
    <n v="4726.8"/>
    <n v="4"/>
  </r>
  <r>
    <x v="128"/>
    <s v="ORD2067"/>
    <x v="5"/>
    <x v="1"/>
    <x v="2"/>
    <n v="5178"/>
    <n v="776.69999999999993"/>
    <n v="3"/>
  </r>
  <r>
    <x v="85"/>
    <s v="ORD3538"/>
    <x v="3"/>
    <x v="0"/>
    <x v="2"/>
    <n v="21465"/>
    <n v="3219.75"/>
    <n v="1"/>
  </r>
  <r>
    <x v="283"/>
    <s v="ORD9936"/>
    <x v="3"/>
    <x v="0"/>
    <x v="1"/>
    <n v="73981"/>
    <n v="11097.15"/>
    <n v="3"/>
  </r>
  <r>
    <x v="256"/>
    <s v="ORD9531"/>
    <x v="2"/>
    <x v="2"/>
    <x v="3"/>
    <n v="78496"/>
    <n v="11774.4"/>
    <n v="1"/>
  </r>
  <r>
    <x v="64"/>
    <s v="ORD2471"/>
    <x v="0"/>
    <x v="0"/>
    <x v="1"/>
    <n v="77244"/>
    <n v="11586.6"/>
    <n v="3"/>
  </r>
  <r>
    <x v="1"/>
    <s v="ORD9473"/>
    <x v="1"/>
    <x v="1"/>
    <x v="0"/>
    <n v="68495"/>
    <n v="10274.25"/>
    <n v="2"/>
  </r>
  <r>
    <x v="298"/>
    <s v="ORD6132"/>
    <x v="4"/>
    <x v="2"/>
    <x v="3"/>
    <n v="32950"/>
    <n v="4942.5"/>
    <n v="1"/>
  </r>
  <r>
    <x v="299"/>
    <s v="ORD7594"/>
    <x v="4"/>
    <x v="2"/>
    <x v="1"/>
    <n v="24236"/>
    <n v="3635.4"/>
    <n v="4"/>
  </r>
  <r>
    <x v="51"/>
    <s v="ORD7357"/>
    <x v="1"/>
    <x v="1"/>
    <x v="1"/>
    <n v="49070"/>
    <n v="7360.5"/>
    <n v="4"/>
  </r>
  <r>
    <x v="237"/>
    <s v="ORD2766"/>
    <x v="0"/>
    <x v="0"/>
    <x v="0"/>
    <n v="20209"/>
    <n v="3031.35"/>
    <n v="3"/>
  </r>
  <r>
    <x v="141"/>
    <s v="ORD4817"/>
    <x v="2"/>
    <x v="2"/>
    <x v="2"/>
    <n v="7509"/>
    <n v="1126.3499999999999"/>
    <n v="3"/>
  </r>
  <r>
    <x v="47"/>
    <s v="ORD6088"/>
    <x v="0"/>
    <x v="0"/>
    <x v="0"/>
    <n v="31124"/>
    <n v="4668.5999999999995"/>
    <n v="1"/>
  </r>
  <r>
    <x v="84"/>
    <s v="ORD6913"/>
    <x v="1"/>
    <x v="1"/>
    <x v="3"/>
    <n v="37817"/>
    <n v="5672.55"/>
    <n v="5"/>
  </r>
  <r>
    <x v="51"/>
    <s v="ORD2770"/>
    <x v="2"/>
    <x v="2"/>
    <x v="1"/>
    <n v="20762"/>
    <n v="3114.2999999999997"/>
    <n v="3"/>
  </r>
  <r>
    <x v="268"/>
    <s v="ORD7668"/>
    <x v="4"/>
    <x v="2"/>
    <x v="2"/>
    <n v="2626"/>
    <n v="393.9"/>
    <n v="1"/>
  </r>
  <r>
    <x v="211"/>
    <s v="ORD1562"/>
    <x v="0"/>
    <x v="0"/>
    <x v="0"/>
    <n v="13914"/>
    <n v="2087.1"/>
    <n v="4"/>
  </r>
  <r>
    <x v="306"/>
    <s v="ORD7307"/>
    <x v="4"/>
    <x v="2"/>
    <x v="3"/>
    <n v="51992"/>
    <n v="7798.7999999999993"/>
    <n v="4"/>
  </r>
  <r>
    <x v="15"/>
    <s v="ORD1241"/>
    <x v="3"/>
    <x v="0"/>
    <x v="1"/>
    <n v="77833"/>
    <n v="11674.949999999999"/>
    <n v="1"/>
  </r>
  <r>
    <x v="6"/>
    <s v="ORD7970"/>
    <x v="1"/>
    <x v="1"/>
    <x v="1"/>
    <n v="1955"/>
    <n v="293.25"/>
    <n v="5"/>
  </r>
  <r>
    <x v="106"/>
    <s v="ORD1590"/>
    <x v="0"/>
    <x v="0"/>
    <x v="3"/>
    <n v="77553"/>
    <n v="11632.949999999999"/>
    <n v="2"/>
  </r>
  <r>
    <x v="44"/>
    <s v="ORD6129"/>
    <x v="1"/>
    <x v="1"/>
    <x v="1"/>
    <n v="33583"/>
    <n v="5037.45"/>
    <n v="5"/>
  </r>
  <r>
    <x v="113"/>
    <s v="ORD7433"/>
    <x v="2"/>
    <x v="2"/>
    <x v="2"/>
    <n v="35973"/>
    <n v="5395.95"/>
    <n v="5"/>
  </r>
  <r>
    <x v="84"/>
    <s v="ORD2515"/>
    <x v="1"/>
    <x v="1"/>
    <x v="0"/>
    <n v="35041"/>
    <n v="5256.15"/>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5D22CD-1BC2-45F1-A931-83A55A06B48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7" firstHeaderRow="1" firstDataRow="1" firstDataCol="1"/>
  <pivotFields count="10">
    <pivotField numFmtId="14" showAll="0">
      <items count="308">
        <item x="90"/>
        <item x="116"/>
        <item x="140"/>
        <item x="271"/>
        <item x="176"/>
        <item x="186"/>
        <item x="83"/>
        <item x="298"/>
        <item x="170"/>
        <item x="229"/>
        <item x="216"/>
        <item x="221"/>
        <item x="240"/>
        <item x="251"/>
        <item x="36"/>
        <item x="44"/>
        <item x="78"/>
        <item x="48"/>
        <item x="200"/>
        <item x="13"/>
        <item x="70"/>
        <item x="268"/>
        <item x="118"/>
        <item x="80"/>
        <item x="201"/>
        <item x="77"/>
        <item x="62"/>
        <item x="234"/>
        <item x="137"/>
        <item x="233"/>
        <item x="248"/>
        <item x="274"/>
        <item x="191"/>
        <item x="266"/>
        <item x="87"/>
        <item x="113"/>
        <item x="287"/>
        <item x="142"/>
        <item x="197"/>
        <item x="128"/>
        <item x="141"/>
        <item x="108"/>
        <item x="187"/>
        <item x="30"/>
        <item x="210"/>
        <item x="56"/>
        <item x="57"/>
        <item x="152"/>
        <item x="130"/>
        <item x="12"/>
        <item x="96"/>
        <item x="17"/>
        <item x="148"/>
        <item x="110"/>
        <item x="164"/>
        <item x="207"/>
        <item x="54"/>
        <item x="232"/>
        <item x="89"/>
        <item x="269"/>
        <item x="262"/>
        <item x="85"/>
        <item x="284"/>
        <item x="101"/>
        <item x="247"/>
        <item x="75"/>
        <item x="211"/>
        <item x="112"/>
        <item x="37"/>
        <item x="285"/>
        <item x="159"/>
        <item x="0"/>
        <item x="35"/>
        <item x="293"/>
        <item x="59"/>
        <item x="55"/>
        <item x="198"/>
        <item x="290"/>
        <item x="82"/>
        <item x="41"/>
        <item x="174"/>
        <item x="114"/>
        <item x="34"/>
        <item x="299"/>
        <item x="73"/>
        <item x="23"/>
        <item x="43"/>
        <item x="294"/>
        <item x="100"/>
        <item x="50"/>
        <item x="303"/>
        <item x="264"/>
        <item x="226"/>
        <item x="195"/>
        <item x="230"/>
        <item x="102"/>
        <item x="304"/>
        <item x="183"/>
        <item x="134"/>
        <item x="283"/>
        <item x="71"/>
        <item x="93"/>
        <item x="245"/>
        <item x="249"/>
        <item x="45"/>
        <item x="146"/>
        <item x="282"/>
        <item x="173"/>
        <item x="273"/>
        <item x="206"/>
        <item x="4"/>
        <item x="52"/>
        <item x="288"/>
        <item x="278"/>
        <item x="213"/>
        <item x="286"/>
        <item x="109"/>
        <item x="24"/>
        <item x="153"/>
        <item x="150"/>
        <item x="242"/>
        <item x="291"/>
        <item x="126"/>
        <item x="9"/>
        <item x="162"/>
        <item x="267"/>
        <item x="19"/>
        <item x="243"/>
        <item x="292"/>
        <item x="67"/>
        <item x="260"/>
        <item x="165"/>
        <item x="79"/>
        <item x="272"/>
        <item x="220"/>
        <item x="60"/>
        <item x="237"/>
        <item x="31"/>
        <item x="69"/>
        <item x="289"/>
        <item x="196"/>
        <item x="204"/>
        <item x="42"/>
        <item x="147"/>
        <item x="276"/>
        <item x="244"/>
        <item x="47"/>
        <item x="172"/>
        <item x="49"/>
        <item x="8"/>
        <item x="218"/>
        <item x="190"/>
        <item x="29"/>
        <item x="154"/>
        <item x="177"/>
        <item x="219"/>
        <item x="238"/>
        <item x="222"/>
        <item x="6"/>
        <item x="259"/>
        <item x="180"/>
        <item x="145"/>
        <item x="81"/>
        <item x="258"/>
        <item x="3"/>
        <item x="158"/>
        <item x="106"/>
        <item x="231"/>
        <item x="281"/>
        <item x="46"/>
        <item x="139"/>
        <item x="84"/>
        <item x="214"/>
        <item x="149"/>
        <item x="1"/>
        <item x="63"/>
        <item x="250"/>
        <item x="297"/>
        <item x="192"/>
        <item x="223"/>
        <item x="157"/>
        <item x="122"/>
        <item x="132"/>
        <item x="203"/>
        <item x="306"/>
        <item x="21"/>
        <item x="22"/>
        <item x="151"/>
        <item x="171"/>
        <item x="301"/>
        <item x="66"/>
        <item x="163"/>
        <item x="53"/>
        <item x="32"/>
        <item x="127"/>
        <item x="255"/>
        <item x="193"/>
        <item x="72"/>
        <item x="15"/>
        <item x="156"/>
        <item x="161"/>
        <item x="261"/>
        <item x="25"/>
        <item x="265"/>
        <item x="94"/>
        <item x="51"/>
        <item x="305"/>
        <item x="14"/>
        <item x="38"/>
        <item x="16"/>
        <item x="175"/>
        <item x="256"/>
        <item x="241"/>
        <item x="135"/>
        <item x="58"/>
        <item x="257"/>
        <item x="302"/>
        <item x="202"/>
        <item x="18"/>
        <item x="40"/>
        <item x="144"/>
        <item x="167"/>
        <item x="74"/>
        <item x="184"/>
        <item x="181"/>
        <item x="296"/>
        <item x="178"/>
        <item x="111"/>
        <item x="136"/>
        <item x="253"/>
        <item x="92"/>
        <item x="228"/>
        <item x="98"/>
        <item x="155"/>
        <item x="254"/>
        <item x="185"/>
        <item x="76"/>
        <item x="120"/>
        <item x="11"/>
        <item x="252"/>
        <item x="189"/>
        <item x="179"/>
        <item x="115"/>
        <item x="236"/>
        <item x="300"/>
        <item x="225"/>
        <item x="104"/>
        <item x="117"/>
        <item x="235"/>
        <item x="275"/>
        <item x="227"/>
        <item x="119"/>
        <item x="166"/>
        <item x="160"/>
        <item x="28"/>
        <item x="10"/>
        <item x="295"/>
        <item x="133"/>
        <item x="33"/>
        <item x="212"/>
        <item x="270"/>
        <item x="88"/>
        <item x="26"/>
        <item x="64"/>
        <item x="279"/>
        <item x="277"/>
        <item x="217"/>
        <item x="103"/>
        <item x="263"/>
        <item x="65"/>
        <item x="107"/>
        <item x="121"/>
        <item x="182"/>
        <item x="199"/>
        <item x="27"/>
        <item x="68"/>
        <item x="131"/>
        <item x="194"/>
        <item x="125"/>
        <item x="208"/>
        <item x="205"/>
        <item x="143"/>
        <item x="105"/>
        <item x="20"/>
        <item x="7"/>
        <item x="99"/>
        <item x="61"/>
        <item x="209"/>
        <item x="246"/>
        <item x="5"/>
        <item x="168"/>
        <item x="95"/>
        <item x="123"/>
        <item x="280"/>
        <item x="215"/>
        <item x="169"/>
        <item x="97"/>
        <item x="124"/>
        <item x="86"/>
        <item x="138"/>
        <item x="2"/>
        <item x="91"/>
        <item x="188"/>
        <item x="129"/>
        <item x="239"/>
        <item x="39"/>
        <item x="224"/>
        <item t="default"/>
      </items>
    </pivotField>
    <pivotField showAll="0"/>
    <pivotField showAll="0"/>
    <pivotField axis="axisRow" showAll="0">
      <items count="4">
        <item x="0"/>
        <item x="1"/>
        <item x="2"/>
        <item t="default"/>
      </items>
    </pivotField>
    <pivotField showAll="0"/>
    <pivotField showAll="0"/>
    <pivotField dataField="1" numFmtI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Items count="1">
    <i/>
  </colItems>
  <dataFields count="1">
    <dataField name=" Profit" fld="6" baseField="3" baseItem="0" numFmtId="1"/>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9D5F82-4C05-47F2-9D85-01BB04725AF6}"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G3:H10" firstHeaderRow="1" firstDataRow="1" firstDataCol="1"/>
  <pivotFields count="10">
    <pivotField numFmtId="14" showAll="0">
      <items count="308">
        <item x="90"/>
        <item x="116"/>
        <item x="140"/>
        <item x="271"/>
        <item x="176"/>
        <item x="186"/>
        <item x="83"/>
        <item x="298"/>
        <item x="170"/>
        <item x="229"/>
        <item x="216"/>
        <item x="221"/>
        <item x="240"/>
        <item x="251"/>
        <item x="36"/>
        <item x="44"/>
        <item x="78"/>
        <item x="48"/>
        <item x="200"/>
        <item x="13"/>
        <item x="70"/>
        <item x="268"/>
        <item x="118"/>
        <item x="80"/>
        <item x="201"/>
        <item x="77"/>
        <item x="62"/>
        <item x="234"/>
        <item x="137"/>
        <item x="233"/>
        <item x="248"/>
        <item x="274"/>
        <item x="191"/>
        <item x="266"/>
        <item x="87"/>
        <item x="113"/>
        <item x="287"/>
        <item x="142"/>
        <item x="197"/>
        <item x="128"/>
        <item x="141"/>
        <item x="108"/>
        <item x="187"/>
        <item x="30"/>
        <item x="210"/>
        <item x="56"/>
        <item x="57"/>
        <item x="152"/>
        <item x="130"/>
        <item x="12"/>
        <item x="96"/>
        <item x="17"/>
        <item x="148"/>
        <item x="110"/>
        <item x="164"/>
        <item x="207"/>
        <item x="54"/>
        <item x="232"/>
        <item x="89"/>
        <item x="269"/>
        <item x="262"/>
        <item x="85"/>
        <item x="284"/>
        <item x="101"/>
        <item x="247"/>
        <item x="75"/>
        <item x="211"/>
        <item x="112"/>
        <item x="37"/>
        <item x="285"/>
        <item x="159"/>
        <item x="0"/>
        <item x="35"/>
        <item x="293"/>
        <item x="59"/>
        <item x="55"/>
        <item x="198"/>
        <item x="290"/>
        <item x="82"/>
        <item x="41"/>
        <item x="174"/>
        <item x="114"/>
        <item x="34"/>
        <item x="299"/>
        <item x="73"/>
        <item x="23"/>
        <item x="43"/>
        <item x="294"/>
        <item x="100"/>
        <item x="50"/>
        <item x="303"/>
        <item x="264"/>
        <item x="226"/>
        <item x="195"/>
        <item x="230"/>
        <item x="102"/>
        <item x="304"/>
        <item x="183"/>
        <item x="134"/>
        <item x="283"/>
        <item x="71"/>
        <item x="93"/>
        <item x="245"/>
        <item x="249"/>
        <item x="45"/>
        <item x="146"/>
        <item x="282"/>
        <item x="173"/>
        <item x="273"/>
        <item x="206"/>
        <item x="4"/>
        <item x="52"/>
        <item x="288"/>
        <item x="278"/>
        <item x="213"/>
        <item x="286"/>
        <item x="109"/>
        <item x="24"/>
        <item x="153"/>
        <item x="150"/>
        <item x="242"/>
        <item x="291"/>
        <item x="126"/>
        <item x="9"/>
        <item x="162"/>
        <item x="267"/>
        <item x="19"/>
        <item x="243"/>
        <item x="292"/>
        <item x="67"/>
        <item x="260"/>
        <item x="165"/>
        <item x="79"/>
        <item x="272"/>
        <item x="220"/>
        <item x="60"/>
        <item x="237"/>
        <item x="31"/>
        <item x="69"/>
        <item x="289"/>
        <item x="196"/>
        <item x="204"/>
        <item x="42"/>
        <item x="147"/>
        <item x="276"/>
        <item x="244"/>
        <item x="47"/>
        <item x="172"/>
        <item x="49"/>
        <item x="8"/>
        <item x="218"/>
        <item x="190"/>
        <item x="29"/>
        <item x="154"/>
        <item x="177"/>
        <item x="219"/>
        <item x="238"/>
        <item x="222"/>
        <item x="6"/>
        <item x="259"/>
        <item x="180"/>
        <item x="145"/>
        <item x="81"/>
        <item x="258"/>
        <item x="3"/>
        <item x="158"/>
        <item x="106"/>
        <item x="231"/>
        <item x="281"/>
        <item x="46"/>
        <item x="139"/>
        <item x="84"/>
        <item x="214"/>
        <item x="149"/>
        <item x="1"/>
        <item x="63"/>
        <item x="250"/>
        <item x="297"/>
        <item x="192"/>
        <item x="223"/>
        <item x="157"/>
        <item x="122"/>
        <item x="132"/>
        <item x="203"/>
        <item x="306"/>
        <item x="21"/>
        <item x="22"/>
        <item x="151"/>
        <item x="171"/>
        <item x="301"/>
        <item x="66"/>
        <item x="163"/>
        <item x="53"/>
        <item x="32"/>
        <item x="127"/>
        <item x="255"/>
        <item x="193"/>
        <item x="72"/>
        <item x="15"/>
        <item x="156"/>
        <item x="161"/>
        <item x="261"/>
        <item x="25"/>
        <item x="265"/>
        <item x="94"/>
        <item x="51"/>
        <item x="305"/>
        <item x="14"/>
        <item x="38"/>
        <item x="16"/>
        <item x="175"/>
        <item x="256"/>
        <item x="241"/>
        <item x="135"/>
        <item x="58"/>
        <item x="257"/>
        <item x="302"/>
        <item x="202"/>
        <item x="18"/>
        <item x="40"/>
        <item x="144"/>
        <item x="167"/>
        <item x="74"/>
        <item x="184"/>
        <item x="181"/>
        <item x="296"/>
        <item x="178"/>
        <item x="111"/>
        <item x="136"/>
        <item x="253"/>
        <item x="92"/>
        <item x="228"/>
        <item x="98"/>
        <item x="155"/>
        <item x="254"/>
        <item x="185"/>
        <item x="76"/>
        <item x="120"/>
        <item x="11"/>
        <item x="252"/>
        <item x="189"/>
        <item x="179"/>
        <item x="115"/>
        <item x="236"/>
        <item x="300"/>
        <item x="225"/>
        <item x="104"/>
        <item x="117"/>
        <item x="235"/>
        <item x="275"/>
        <item x="227"/>
        <item x="119"/>
        <item x="166"/>
        <item x="160"/>
        <item x="28"/>
        <item x="10"/>
        <item x="295"/>
        <item x="133"/>
        <item x="33"/>
        <item x="212"/>
        <item x="270"/>
        <item x="88"/>
        <item x="26"/>
        <item x="64"/>
        <item x="279"/>
        <item x="277"/>
        <item x="217"/>
        <item x="103"/>
        <item x="263"/>
        <item x="65"/>
        <item x="107"/>
        <item x="121"/>
        <item x="182"/>
        <item x="199"/>
        <item x="27"/>
        <item x="68"/>
        <item x="131"/>
        <item x="194"/>
        <item x="125"/>
        <item x="208"/>
        <item x="205"/>
        <item x="143"/>
        <item x="105"/>
        <item x="20"/>
        <item x="7"/>
        <item x="99"/>
        <item x="61"/>
        <item x="209"/>
        <item x="246"/>
        <item x="5"/>
        <item x="168"/>
        <item x="95"/>
        <item x="123"/>
        <item x="280"/>
        <item x="215"/>
        <item x="169"/>
        <item x="97"/>
        <item x="124"/>
        <item x="86"/>
        <item x="138"/>
        <item x="2"/>
        <item x="91"/>
        <item x="188"/>
        <item x="129"/>
        <item x="239"/>
        <item x="39"/>
        <item x="224"/>
        <item t="default"/>
      </items>
    </pivotField>
    <pivotField showAll="0"/>
    <pivotField axis="axisRow" showAll="0">
      <items count="7">
        <item x="2"/>
        <item x="5"/>
        <item x="1"/>
        <item x="0"/>
        <item x="3"/>
        <item x="4"/>
        <item t="default"/>
      </items>
    </pivotField>
    <pivotField showAll="0"/>
    <pivotField showAll="0"/>
    <pivotField dataField="1" showAll="0"/>
    <pivotField numFmtI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 Sales" fld="5"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274790-E0EA-4088-A05F-CF33BD57680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3:E16" firstHeaderRow="1" firstDataRow="1" firstDataCol="1"/>
  <pivotFields count="10">
    <pivotField numFmtId="14" showAll="0">
      <items count="308">
        <item x="90"/>
        <item x="116"/>
        <item x="140"/>
        <item x="271"/>
        <item x="176"/>
        <item x="186"/>
        <item x="83"/>
        <item x="298"/>
        <item x="170"/>
        <item x="229"/>
        <item x="216"/>
        <item x="221"/>
        <item x="240"/>
        <item x="251"/>
        <item x="36"/>
        <item x="44"/>
        <item x="78"/>
        <item x="48"/>
        <item x="200"/>
        <item x="13"/>
        <item x="70"/>
        <item x="268"/>
        <item x="118"/>
        <item x="80"/>
        <item x="201"/>
        <item x="77"/>
        <item x="62"/>
        <item x="234"/>
        <item x="137"/>
        <item x="233"/>
        <item x="248"/>
        <item x="274"/>
        <item x="191"/>
        <item x="266"/>
        <item x="87"/>
        <item x="113"/>
        <item x="287"/>
        <item x="142"/>
        <item x="197"/>
        <item x="128"/>
        <item x="141"/>
        <item x="108"/>
        <item x="187"/>
        <item x="30"/>
        <item x="210"/>
        <item x="56"/>
        <item x="57"/>
        <item x="152"/>
        <item x="130"/>
        <item x="12"/>
        <item x="96"/>
        <item x="17"/>
        <item x="148"/>
        <item x="110"/>
        <item x="164"/>
        <item x="207"/>
        <item x="54"/>
        <item x="232"/>
        <item x="89"/>
        <item x="269"/>
        <item x="262"/>
        <item x="85"/>
        <item x="284"/>
        <item x="101"/>
        <item x="247"/>
        <item x="75"/>
        <item x="211"/>
        <item x="112"/>
        <item x="37"/>
        <item x="285"/>
        <item x="159"/>
        <item x="0"/>
        <item x="35"/>
        <item x="293"/>
        <item x="59"/>
        <item x="55"/>
        <item x="198"/>
        <item x="290"/>
        <item x="82"/>
        <item x="41"/>
        <item x="174"/>
        <item x="114"/>
        <item x="34"/>
        <item x="299"/>
        <item x="73"/>
        <item x="23"/>
        <item x="43"/>
        <item x="294"/>
        <item x="100"/>
        <item x="50"/>
        <item x="303"/>
        <item x="264"/>
        <item x="226"/>
        <item x="195"/>
        <item x="230"/>
        <item x="102"/>
        <item x="304"/>
        <item x="183"/>
        <item x="134"/>
        <item x="283"/>
        <item x="71"/>
        <item x="93"/>
        <item x="245"/>
        <item x="249"/>
        <item x="45"/>
        <item x="146"/>
        <item x="282"/>
        <item x="173"/>
        <item x="273"/>
        <item x="206"/>
        <item x="4"/>
        <item x="52"/>
        <item x="288"/>
        <item x="278"/>
        <item x="213"/>
        <item x="286"/>
        <item x="109"/>
        <item x="24"/>
        <item x="153"/>
        <item x="150"/>
        <item x="242"/>
        <item x="291"/>
        <item x="126"/>
        <item x="9"/>
        <item x="162"/>
        <item x="267"/>
        <item x="19"/>
        <item x="243"/>
        <item x="292"/>
        <item x="67"/>
        <item x="260"/>
        <item x="165"/>
        <item x="79"/>
        <item x="272"/>
        <item x="220"/>
        <item x="60"/>
        <item x="237"/>
        <item x="31"/>
        <item x="69"/>
        <item x="289"/>
        <item x="196"/>
        <item x="204"/>
        <item x="42"/>
        <item x="147"/>
        <item x="276"/>
        <item x="244"/>
        <item x="47"/>
        <item x="172"/>
        <item x="49"/>
        <item x="8"/>
        <item x="218"/>
        <item x="190"/>
        <item x="29"/>
        <item x="154"/>
        <item x="177"/>
        <item x="219"/>
        <item x="238"/>
        <item x="222"/>
        <item x="6"/>
        <item x="259"/>
        <item x="180"/>
        <item x="145"/>
        <item x="81"/>
        <item x="258"/>
        <item x="3"/>
        <item x="158"/>
        <item x="106"/>
        <item x="231"/>
        <item x="281"/>
        <item x="46"/>
        <item x="139"/>
        <item x="84"/>
        <item x="214"/>
        <item x="149"/>
        <item x="1"/>
        <item x="63"/>
        <item x="250"/>
        <item x="297"/>
        <item x="192"/>
        <item x="223"/>
        <item x="157"/>
        <item x="122"/>
        <item x="132"/>
        <item x="203"/>
        <item x="306"/>
        <item x="21"/>
        <item x="22"/>
        <item x="151"/>
        <item x="171"/>
        <item x="301"/>
        <item x="66"/>
        <item x="163"/>
        <item x="53"/>
        <item x="32"/>
        <item x="127"/>
        <item x="255"/>
        <item x="193"/>
        <item x="72"/>
        <item x="15"/>
        <item x="156"/>
        <item x="161"/>
        <item x="261"/>
        <item x="25"/>
        <item x="265"/>
        <item x="94"/>
        <item x="51"/>
        <item x="305"/>
        <item x="14"/>
        <item x="38"/>
        <item x="16"/>
        <item x="175"/>
        <item x="256"/>
        <item x="241"/>
        <item x="135"/>
        <item x="58"/>
        <item x="257"/>
        <item x="302"/>
        <item x="202"/>
        <item x="18"/>
        <item x="40"/>
        <item x="144"/>
        <item x="167"/>
        <item x="74"/>
        <item x="184"/>
        <item x="181"/>
        <item x="296"/>
        <item x="178"/>
        <item x="111"/>
        <item x="136"/>
        <item x="253"/>
        <item x="92"/>
        <item x="228"/>
        <item x="98"/>
        <item x="155"/>
        <item x="254"/>
        <item x="185"/>
        <item x="76"/>
        <item x="120"/>
        <item x="11"/>
        <item x="252"/>
        <item x="189"/>
        <item x="179"/>
        <item x="115"/>
        <item x="236"/>
        <item x="300"/>
        <item x="225"/>
        <item x="104"/>
        <item x="117"/>
        <item x="235"/>
        <item x="275"/>
        <item x="227"/>
        <item x="119"/>
        <item x="166"/>
        <item x="160"/>
        <item x="28"/>
        <item x="10"/>
        <item x="295"/>
        <item x="133"/>
        <item x="33"/>
        <item x="212"/>
        <item x="270"/>
        <item x="88"/>
        <item x="26"/>
        <item x="64"/>
        <item x="279"/>
        <item x="277"/>
        <item x="217"/>
        <item x="103"/>
        <item x="263"/>
        <item x="65"/>
        <item x="107"/>
        <item x="121"/>
        <item x="182"/>
        <item x="199"/>
        <item x="27"/>
        <item x="68"/>
        <item x="131"/>
        <item x="194"/>
        <item x="125"/>
        <item x="208"/>
        <item x="205"/>
        <item x="143"/>
        <item x="105"/>
        <item x="20"/>
        <item x="7"/>
        <item x="99"/>
        <item x="61"/>
        <item x="209"/>
        <item x="246"/>
        <item x="5"/>
        <item x="168"/>
        <item x="95"/>
        <item x="123"/>
        <item x="280"/>
        <item x="215"/>
        <item x="169"/>
        <item x="97"/>
        <item x="124"/>
        <item x="86"/>
        <item x="138"/>
        <item x="2"/>
        <item x="91"/>
        <item x="188"/>
        <item x="129"/>
        <item x="239"/>
        <item x="39"/>
        <item x="224"/>
        <item t="default"/>
      </items>
    </pivotField>
    <pivotField showAll="0"/>
    <pivotField showAll="0"/>
    <pivotField showAll="0"/>
    <pivotField showAll="0"/>
    <pivotField dataField="1" showAll="0"/>
    <pivotField numFmtI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405970-D923-4705-A671-26F9ECD13F6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0">
    <pivotField numFmtId="14" showAll="0">
      <items count="308">
        <item x="90"/>
        <item x="116"/>
        <item x="140"/>
        <item x="271"/>
        <item x="176"/>
        <item x="186"/>
        <item x="83"/>
        <item x="298"/>
        <item x="170"/>
        <item x="229"/>
        <item x="216"/>
        <item x="221"/>
        <item x="240"/>
        <item x="251"/>
        <item x="36"/>
        <item x="44"/>
        <item x="78"/>
        <item x="48"/>
        <item x="200"/>
        <item x="13"/>
        <item x="70"/>
        <item x="268"/>
        <item x="118"/>
        <item x="80"/>
        <item x="201"/>
        <item x="77"/>
        <item x="62"/>
        <item x="234"/>
        <item x="137"/>
        <item x="233"/>
        <item x="248"/>
        <item x="274"/>
        <item x="191"/>
        <item x="266"/>
        <item x="87"/>
        <item x="113"/>
        <item x="287"/>
        <item x="142"/>
        <item x="197"/>
        <item x="128"/>
        <item x="141"/>
        <item x="108"/>
        <item x="187"/>
        <item x="30"/>
        <item x="210"/>
        <item x="56"/>
        <item x="57"/>
        <item x="152"/>
        <item x="130"/>
        <item x="12"/>
        <item x="96"/>
        <item x="17"/>
        <item x="148"/>
        <item x="110"/>
        <item x="164"/>
        <item x="207"/>
        <item x="54"/>
        <item x="232"/>
        <item x="89"/>
        <item x="269"/>
        <item x="262"/>
        <item x="85"/>
        <item x="284"/>
        <item x="101"/>
        <item x="247"/>
        <item x="75"/>
        <item x="211"/>
        <item x="112"/>
        <item x="37"/>
        <item x="285"/>
        <item x="159"/>
        <item x="0"/>
        <item x="35"/>
        <item x="293"/>
        <item x="59"/>
        <item x="55"/>
        <item x="198"/>
        <item x="290"/>
        <item x="82"/>
        <item x="41"/>
        <item x="174"/>
        <item x="114"/>
        <item x="34"/>
        <item x="299"/>
        <item x="73"/>
        <item x="23"/>
        <item x="43"/>
        <item x="294"/>
        <item x="100"/>
        <item x="50"/>
        <item x="303"/>
        <item x="264"/>
        <item x="226"/>
        <item x="195"/>
        <item x="230"/>
        <item x="102"/>
        <item x="304"/>
        <item x="183"/>
        <item x="134"/>
        <item x="283"/>
        <item x="71"/>
        <item x="93"/>
        <item x="245"/>
        <item x="249"/>
        <item x="45"/>
        <item x="146"/>
        <item x="282"/>
        <item x="173"/>
        <item x="273"/>
        <item x="206"/>
        <item x="4"/>
        <item x="52"/>
        <item x="288"/>
        <item x="278"/>
        <item x="213"/>
        <item x="286"/>
        <item x="109"/>
        <item x="24"/>
        <item x="153"/>
        <item x="150"/>
        <item x="242"/>
        <item x="291"/>
        <item x="126"/>
        <item x="9"/>
        <item x="162"/>
        <item x="267"/>
        <item x="19"/>
        <item x="243"/>
        <item x="292"/>
        <item x="67"/>
        <item x="260"/>
        <item x="165"/>
        <item x="79"/>
        <item x="272"/>
        <item x="220"/>
        <item x="60"/>
        <item x="237"/>
        <item x="31"/>
        <item x="69"/>
        <item x="289"/>
        <item x="196"/>
        <item x="204"/>
        <item x="42"/>
        <item x="147"/>
        <item x="276"/>
        <item x="244"/>
        <item x="47"/>
        <item x="172"/>
        <item x="49"/>
        <item x="8"/>
        <item x="218"/>
        <item x="190"/>
        <item x="29"/>
        <item x="154"/>
        <item x="177"/>
        <item x="219"/>
        <item x="238"/>
        <item x="222"/>
        <item x="6"/>
        <item x="259"/>
        <item x="180"/>
        <item x="145"/>
        <item x="81"/>
        <item x="258"/>
        <item x="3"/>
        <item x="158"/>
        <item x="106"/>
        <item x="231"/>
        <item x="281"/>
        <item x="46"/>
        <item x="139"/>
        <item x="84"/>
        <item x="214"/>
        <item x="149"/>
        <item x="1"/>
        <item x="63"/>
        <item x="250"/>
        <item x="297"/>
        <item x="192"/>
        <item x="223"/>
        <item x="157"/>
        <item x="122"/>
        <item x="132"/>
        <item x="203"/>
        <item x="306"/>
        <item x="21"/>
        <item x="22"/>
        <item x="151"/>
        <item x="171"/>
        <item x="301"/>
        <item x="66"/>
        <item x="163"/>
        <item x="53"/>
        <item x="32"/>
        <item x="127"/>
        <item x="255"/>
        <item x="193"/>
        <item x="72"/>
        <item x="15"/>
        <item x="156"/>
        <item x="161"/>
        <item x="261"/>
        <item x="25"/>
        <item x="265"/>
        <item x="94"/>
        <item x="51"/>
        <item x="305"/>
        <item x="14"/>
        <item x="38"/>
        <item x="16"/>
        <item x="175"/>
        <item x="256"/>
        <item x="241"/>
        <item x="135"/>
        <item x="58"/>
        <item x="257"/>
        <item x="302"/>
        <item x="202"/>
        <item x="18"/>
        <item x="40"/>
        <item x="144"/>
        <item x="167"/>
        <item x="74"/>
        <item x="184"/>
        <item x="181"/>
        <item x="296"/>
        <item x="178"/>
        <item x="111"/>
        <item x="136"/>
        <item x="253"/>
        <item x="92"/>
        <item x="228"/>
        <item x="98"/>
        <item x="155"/>
        <item x="254"/>
        <item x="185"/>
        <item x="76"/>
        <item x="120"/>
        <item x="11"/>
        <item x="252"/>
        <item x="189"/>
        <item x="179"/>
        <item x="115"/>
        <item x="236"/>
        <item x="300"/>
        <item x="225"/>
        <item x="104"/>
        <item x="117"/>
        <item x="235"/>
        <item x="275"/>
        <item x="227"/>
        <item x="119"/>
        <item x="166"/>
        <item x="160"/>
        <item x="28"/>
        <item x="10"/>
        <item x="295"/>
        <item x="133"/>
        <item x="33"/>
        <item x="212"/>
        <item x="270"/>
        <item x="88"/>
        <item x="26"/>
        <item x="64"/>
        <item x="279"/>
        <item x="277"/>
        <item x="217"/>
        <item x="103"/>
        <item x="263"/>
        <item x="65"/>
        <item x="107"/>
        <item x="121"/>
        <item x="182"/>
        <item x="199"/>
        <item x="27"/>
        <item x="68"/>
        <item x="131"/>
        <item x="194"/>
        <item x="125"/>
        <item x="208"/>
        <item x="205"/>
        <item x="143"/>
        <item x="105"/>
        <item x="20"/>
        <item x="7"/>
        <item x="99"/>
        <item x="61"/>
        <item x="209"/>
        <item x="246"/>
        <item x="5"/>
        <item x="168"/>
        <item x="95"/>
        <item x="123"/>
        <item x="280"/>
        <item x="215"/>
        <item x="169"/>
        <item x="97"/>
        <item x="124"/>
        <item x="86"/>
        <item x="138"/>
        <item x="2"/>
        <item x="91"/>
        <item x="188"/>
        <item x="129"/>
        <item x="239"/>
        <item x="39"/>
        <item x="224"/>
        <item t="default"/>
      </items>
    </pivotField>
    <pivotField showAll="0"/>
    <pivotField showAll="0"/>
    <pivotField showAll="0">
      <items count="4">
        <item x="0"/>
        <item x="1"/>
        <item x="2"/>
        <item t="default"/>
      </items>
    </pivotField>
    <pivotField axis="axisRow" showAll="0">
      <items count="5">
        <item x="0"/>
        <item x="2"/>
        <item x="3"/>
        <item x="1"/>
        <item t="default"/>
      </items>
    </pivotField>
    <pivotField dataField="1"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5"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007468B-4388-4432-863B-0F7343B355D2}" sourceName="Category">
  <pivotTables>
    <pivotTable tabId="5" name="PivotTable3"/>
  </pivotTables>
  <data>
    <tabular pivotCacheId="79903421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B2A715-6AA8-474F-AECF-E9795243DCD6}" sourceName="Region">
  <pivotTables>
    <pivotTable tabId="5" name="PivotTable3"/>
  </pivotTables>
  <data>
    <tabular pivotCacheId="799034217">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748AD83-BF44-4BC6-BA98-901E712C1061}" cache="Slicer_Category" caption="Category" columnCount="3" style="SlicerStyleLight5" rowHeight="241300"/>
  <slicer name="Region" xr10:uid="{D2E81E98-7605-4FBF-986B-22E9F6E20BD1}" cache="Slicer_Region" caption="Region"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41B83F-43F1-4D65-A9B4-801A908F8CB2}" name="Table1" displayName="Table1" ref="A1:H800" totalsRowShown="0">
  <autoFilter ref="A1:H800" xr:uid="{1241B83F-43F1-4D65-A9B4-801A908F8CB2}"/>
  <tableColumns count="8">
    <tableColumn id="1" xr3:uid="{9003146A-4378-42C9-A62B-C2BEED525F1C}" name="Date" dataDxfId="1"/>
    <tableColumn id="2" xr3:uid="{A994C029-2D8B-46CC-B77E-686E4B4A7CE2}" name="Order ID"/>
    <tableColumn id="3" xr3:uid="{622DB7B8-B276-4261-A04B-982ED68E257D}" name="Product"/>
    <tableColumn id="4" xr3:uid="{85249A3E-65C4-411B-A95F-FF0D9BB001DA}" name="Category"/>
    <tableColumn id="5" xr3:uid="{64BF6616-A5D0-4B61-AEA9-9FABCA754B13}" name="Region"/>
    <tableColumn id="6" xr3:uid="{020D6E40-C8E4-4697-BDFE-0AF6CD0D8A93}" name="Sales"/>
    <tableColumn id="7" xr3:uid="{407BB328-3B1B-4FED-B0EA-9C013EC5F485}" name="Profit" dataDxfId="0">
      <calculatedColumnFormula>F2*0.15</calculatedColumnFormula>
    </tableColumn>
    <tableColumn id="8" xr3:uid="{316B0056-A1CA-432D-BD5B-A9CE27734143}"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88A83-A387-4FF2-BB84-CC9297EE055D}">
  <dimension ref="A1:H800"/>
  <sheetViews>
    <sheetView topLeftCell="A293" workbookViewId="0">
      <selection activeCell="K300" sqref="K300"/>
    </sheetView>
  </sheetViews>
  <sheetFormatPr defaultRowHeight="15" x14ac:dyDescent="0.25"/>
  <cols>
    <col min="1" max="1" width="10.42578125" bestFit="1" customWidth="1"/>
    <col min="2" max="2" width="10.5703125" customWidth="1"/>
    <col min="3" max="3" width="10" customWidth="1"/>
    <col min="4" max="4" width="11" customWidth="1"/>
    <col min="5" max="5" width="9.28515625" customWidth="1"/>
    <col min="6" max="6" width="7.7109375" customWidth="1"/>
    <col min="8" max="8" width="10.85546875" customWidth="1"/>
    <col min="10" max="10" width="14" bestFit="1" customWidth="1"/>
  </cols>
  <sheetData>
    <row r="1" spans="1:8" x14ac:dyDescent="0.25">
      <c r="A1" t="s">
        <v>0</v>
      </c>
      <c r="B1" t="s">
        <v>1</v>
      </c>
      <c r="C1" t="s">
        <v>2</v>
      </c>
      <c r="D1" t="s">
        <v>785</v>
      </c>
      <c r="E1" t="s">
        <v>777</v>
      </c>
      <c r="F1" t="s">
        <v>782</v>
      </c>
      <c r="G1" t="s">
        <v>783</v>
      </c>
      <c r="H1" t="s">
        <v>784</v>
      </c>
    </row>
    <row r="2" spans="1:8" x14ac:dyDescent="0.25">
      <c r="A2" s="1">
        <v>45370</v>
      </c>
      <c r="B2" t="s">
        <v>9</v>
      </c>
      <c r="C2" t="s">
        <v>7</v>
      </c>
      <c r="D2" t="s">
        <v>788</v>
      </c>
      <c r="E2" t="s">
        <v>780</v>
      </c>
      <c r="F2">
        <v>1681</v>
      </c>
      <c r="G2" s="2">
        <f>F2*0.15</f>
        <v>252.14999999999998</v>
      </c>
      <c r="H2">
        <v>3</v>
      </c>
    </row>
    <row r="3" spans="1:8" x14ac:dyDescent="0.25">
      <c r="A3" s="1">
        <v>45497</v>
      </c>
      <c r="B3" t="s">
        <v>10</v>
      </c>
      <c r="C3" t="s">
        <v>7</v>
      </c>
      <c r="D3" t="s">
        <v>788</v>
      </c>
      <c r="E3" t="s">
        <v>781</v>
      </c>
      <c r="F3">
        <v>38611</v>
      </c>
      <c r="G3" s="2">
        <f t="shared" ref="G3:G66" si="0">F3*0.15</f>
        <v>5791.65</v>
      </c>
      <c r="H3">
        <v>5</v>
      </c>
    </row>
    <row r="4" spans="1:8" x14ac:dyDescent="0.25">
      <c r="A4" s="1">
        <v>45648</v>
      </c>
      <c r="B4" t="s">
        <v>11</v>
      </c>
      <c r="C4" t="s">
        <v>4</v>
      </c>
      <c r="D4" t="s">
        <v>786</v>
      </c>
      <c r="E4" t="s">
        <v>780</v>
      </c>
      <c r="F4">
        <v>2442</v>
      </c>
      <c r="G4" s="2">
        <f t="shared" si="0"/>
        <v>366.3</v>
      </c>
      <c r="H4">
        <v>5</v>
      </c>
    </row>
    <row r="5" spans="1:8" x14ac:dyDescent="0.25">
      <c r="A5" s="1">
        <v>45486</v>
      </c>
      <c r="B5" t="s">
        <v>12</v>
      </c>
      <c r="C5" t="s">
        <v>7</v>
      </c>
      <c r="D5" t="s">
        <v>788</v>
      </c>
      <c r="E5" t="s">
        <v>778</v>
      </c>
      <c r="F5">
        <v>997</v>
      </c>
      <c r="G5" s="2">
        <f t="shared" si="0"/>
        <v>149.54999999999998</v>
      </c>
      <c r="H5">
        <v>3</v>
      </c>
    </row>
    <row r="6" spans="1:8" x14ac:dyDescent="0.25">
      <c r="A6" s="1">
        <v>45420</v>
      </c>
      <c r="B6" t="s">
        <v>13</v>
      </c>
      <c r="C6" t="s">
        <v>5</v>
      </c>
      <c r="D6" t="s">
        <v>787</v>
      </c>
      <c r="E6" t="s">
        <v>778</v>
      </c>
      <c r="F6">
        <v>4766</v>
      </c>
      <c r="G6" s="2">
        <f t="shared" si="0"/>
        <v>714.9</v>
      </c>
      <c r="H6">
        <v>3</v>
      </c>
    </row>
    <row r="7" spans="1:8" x14ac:dyDescent="0.25">
      <c r="A7" s="1">
        <v>45636</v>
      </c>
      <c r="B7" t="s">
        <v>14</v>
      </c>
      <c r="C7" t="s">
        <v>8</v>
      </c>
      <c r="D7" t="s">
        <v>788</v>
      </c>
      <c r="E7" t="s">
        <v>780</v>
      </c>
      <c r="F7">
        <v>22410</v>
      </c>
      <c r="G7" s="2">
        <f t="shared" si="0"/>
        <v>3361.5</v>
      </c>
      <c r="H7">
        <v>1</v>
      </c>
    </row>
    <row r="8" spans="1:8" x14ac:dyDescent="0.25">
      <c r="A8" s="1">
        <v>45479</v>
      </c>
      <c r="B8" t="s">
        <v>15</v>
      </c>
      <c r="C8" t="s">
        <v>8</v>
      </c>
      <c r="D8" t="s">
        <v>788</v>
      </c>
      <c r="E8" t="s">
        <v>779</v>
      </c>
      <c r="F8">
        <v>36511</v>
      </c>
      <c r="G8" s="2">
        <f t="shared" si="0"/>
        <v>5476.65</v>
      </c>
      <c r="H8">
        <v>1</v>
      </c>
    </row>
    <row r="9" spans="1:8" x14ac:dyDescent="0.25">
      <c r="A9" s="1">
        <v>45631</v>
      </c>
      <c r="B9" t="s">
        <v>16</v>
      </c>
      <c r="C9" t="s">
        <v>6</v>
      </c>
      <c r="D9" t="s">
        <v>787</v>
      </c>
      <c r="E9" t="s">
        <v>779</v>
      </c>
      <c r="F9">
        <v>55709</v>
      </c>
      <c r="G9" s="2">
        <f t="shared" si="0"/>
        <v>8356.35</v>
      </c>
      <c r="H9">
        <v>3</v>
      </c>
    </row>
    <row r="10" spans="1:8" x14ac:dyDescent="0.25">
      <c r="A10" s="1">
        <v>45466</v>
      </c>
      <c r="B10" t="s">
        <v>17</v>
      </c>
      <c r="C10" t="s">
        <v>5</v>
      </c>
      <c r="D10" t="s">
        <v>787</v>
      </c>
      <c r="E10" t="s">
        <v>780</v>
      </c>
      <c r="F10">
        <v>3009</v>
      </c>
      <c r="G10" s="2">
        <f t="shared" si="0"/>
        <v>451.34999999999997</v>
      </c>
      <c r="H10">
        <v>1</v>
      </c>
    </row>
    <row r="11" spans="1:8" x14ac:dyDescent="0.25">
      <c r="A11" s="1">
        <v>45436</v>
      </c>
      <c r="B11" t="s">
        <v>18</v>
      </c>
      <c r="C11" t="s">
        <v>8</v>
      </c>
      <c r="D11" t="s">
        <v>788</v>
      </c>
      <c r="E11" t="s">
        <v>780</v>
      </c>
      <c r="F11">
        <v>61451</v>
      </c>
      <c r="G11" s="2">
        <f t="shared" si="0"/>
        <v>9217.65</v>
      </c>
      <c r="H11">
        <v>3</v>
      </c>
    </row>
    <row r="12" spans="1:8" x14ac:dyDescent="0.25">
      <c r="A12" s="1">
        <v>45593</v>
      </c>
      <c r="B12" t="s">
        <v>19</v>
      </c>
      <c r="C12" t="s">
        <v>5</v>
      </c>
      <c r="D12" t="s">
        <v>787</v>
      </c>
      <c r="E12" t="s">
        <v>779</v>
      </c>
      <c r="F12">
        <v>1771</v>
      </c>
      <c r="G12" s="2">
        <f t="shared" si="0"/>
        <v>265.64999999999998</v>
      </c>
      <c r="H12">
        <v>2</v>
      </c>
    </row>
    <row r="13" spans="1:8" x14ac:dyDescent="0.25">
      <c r="A13" s="1">
        <v>45576</v>
      </c>
      <c r="B13" t="s">
        <v>20</v>
      </c>
      <c r="C13" t="s">
        <v>6</v>
      </c>
      <c r="D13" t="s">
        <v>787</v>
      </c>
      <c r="E13" t="s">
        <v>779</v>
      </c>
      <c r="F13">
        <v>26790</v>
      </c>
      <c r="G13" s="2">
        <f t="shared" si="0"/>
        <v>4018.5</v>
      </c>
      <c r="H13">
        <v>2</v>
      </c>
    </row>
    <row r="14" spans="1:8" x14ac:dyDescent="0.25">
      <c r="A14" s="1">
        <v>45347</v>
      </c>
      <c r="B14" t="s">
        <v>21</v>
      </c>
      <c r="C14" t="s">
        <v>4</v>
      </c>
      <c r="D14" t="s">
        <v>786</v>
      </c>
      <c r="E14" t="s">
        <v>780</v>
      </c>
      <c r="F14">
        <v>60298</v>
      </c>
      <c r="G14" s="2">
        <f t="shared" si="0"/>
        <v>9044.6999999999989</v>
      </c>
      <c r="H14">
        <v>2</v>
      </c>
    </row>
    <row r="15" spans="1:8" x14ac:dyDescent="0.25">
      <c r="A15" s="1">
        <v>45312</v>
      </c>
      <c r="B15" t="s">
        <v>22</v>
      </c>
      <c r="C15" t="s">
        <v>4</v>
      </c>
      <c r="D15" t="s">
        <v>786</v>
      </c>
      <c r="E15" t="s">
        <v>779</v>
      </c>
      <c r="F15">
        <v>64049</v>
      </c>
      <c r="G15" s="2">
        <f t="shared" si="0"/>
        <v>9607.35</v>
      </c>
      <c r="H15">
        <v>1</v>
      </c>
    </row>
    <row r="16" spans="1:8" x14ac:dyDescent="0.25">
      <c r="A16" s="1">
        <v>45538</v>
      </c>
      <c r="B16" t="s">
        <v>23</v>
      </c>
      <c r="C16" t="s">
        <v>4</v>
      </c>
      <c r="D16" t="s">
        <v>786</v>
      </c>
      <c r="E16" t="s">
        <v>779</v>
      </c>
      <c r="F16">
        <v>24309</v>
      </c>
      <c r="G16" s="2">
        <f t="shared" si="0"/>
        <v>3646.35</v>
      </c>
      <c r="H16">
        <v>5</v>
      </c>
    </row>
    <row r="17" spans="1:8" x14ac:dyDescent="0.25">
      <c r="A17" s="1">
        <v>45525</v>
      </c>
      <c r="B17" t="s">
        <v>24</v>
      </c>
      <c r="C17" t="s">
        <v>6</v>
      </c>
      <c r="D17" t="s">
        <v>787</v>
      </c>
      <c r="E17" t="s">
        <v>781</v>
      </c>
      <c r="F17">
        <v>40481</v>
      </c>
      <c r="G17" s="2">
        <f t="shared" si="0"/>
        <v>6072.15</v>
      </c>
      <c r="H17">
        <v>2</v>
      </c>
    </row>
    <row r="18" spans="1:8" x14ac:dyDescent="0.25">
      <c r="A18" s="1">
        <v>45540</v>
      </c>
      <c r="B18" t="s">
        <v>25</v>
      </c>
      <c r="C18" t="s">
        <v>4</v>
      </c>
      <c r="D18" t="s">
        <v>786</v>
      </c>
      <c r="E18" t="s">
        <v>780</v>
      </c>
      <c r="F18">
        <v>79147</v>
      </c>
      <c r="G18" s="2">
        <f t="shared" si="0"/>
        <v>11872.05</v>
      </c>
      <c r="H18">
        <v>5</v>
      </c>
    </row>
    <row r="19" spans="1:8" x14ac:dyDescent="0.25">
      <c r="A19" s="1">
        <v>45349</v>
      </c>
      <c r="B19" t="s">
        <v>26</v>
      </c>
      <c r="C19" t="s">
        <v>8</v>
      </c>
      <c r="D19" t="s">
        <v>788</v>
      </c>
      <c r="E19" t="s">
        <v>781</v>
      </c>
      <c r="F19">
        <v>53490</v>
      </c>
      <c r="G19" s="2">
        <f t="shared" si="0"/>
        <v>8023.5</v>
      </c>
      <c r="H19">
        <v>1</v>
      </c>
    </row>
    <row r="20" spans="1:8" x14ac:dyDescent="0.25">
      <c r="A20" s="1">
        <v>45550</v>
      </c>
      <c r="B20" t="s">
        <v>27</v>
      </c>
      <c r="C20" t="s">
        <v>7</v>
      </c>
      <c r="D20" t="s">
        <v>788</v>
      </c>
      <c r="E20" t="s">
        <v>778</v>
      </c>
      <c r="F20">
        <v>17159</v>
      </c>
      <c r="G20" s="2">
        <f t="shared" si="0"/>
        <v>2573.85</v>
      </c>
      <c r="H20">
        <v>3</v>
      </c>
    </row>
    <row r="21" spans="1:8" x14ac:dyDescent="0.25">
      <c r="A21" s="1">
        <v>45439</v>
      </c>
      <c r="B21" t="s">
        <v>28</v>
      </c>
      <c r="C21" t="s">
        <v>3</v>
      </c>
      <c r="D21" t="s">
        <v>786</v>
      </c>
      <c r="E21" t="s">
        <v>781</v>
      </c>
      <c r="F21">
        <v>16945</v>
      </c>
      <c r="G21" s="2">
        <f t="shared" si="0"/>
        <v>2541.75</v>
      </c>
      <c r="H21">
        <v>4</v>
      </c>
    </row>
    <row r="22" spans="1:8" x14ac:dyDescent="0.25">
      <c r="A22" s="1">
        <v>45630</v>
      </c>
      <c r="B22" t="s">
        <v>29</v>
      </c>
      <c r="C22" t="s">
        <v>5</v>
      </c>
      <c r="D22" t="s">
        <v>787</v>
      </c>
      <c r="E22" t="s">
        <v>779</v>
      </c>
      <c r="F22">
        <v>14336</v>
      </c>
      <c r="G22" s="2">
        <f t="shared" si="0"/>
        <v>2150.4</v>
      </c>
      <c r="H22">
        <v>5</v>
      </c>
    </row>
    <row r="23" spans="1:8" x14ac:dyDescent="0.25">
      <c r="A23" s="1">
        <v>45436</v>
      </c>
      <c r="B23" t="s">
        <v>30</v>
      </c>
      <c r="C23" t="s">
        <v>4</v>
      </c>
      <c r="D23" t="s">
        <v>786</v>
      </c>
      <c r="E23" t="s">
        <v>779</v>
      </c>
      <c r="F23">
        <v>30242</v>
      </c>
      <c r="G23" s="2">
        <f t="shared" si="0"/>
        <v>4536.3</v>
      </c>
      <c r="H23">
        <v>3</v>
      </c>
    </row>
    <row r="24" spans="1:8" x14ac:dyDescent="0.25">
      <c r="A24" s="1">
        <v>45511</v>
      </c>
      <c r="B24" t="s">
        <v>31</v>
      </c>
      <c r="C24" t="s">
        <v>4</v>
      </c>
      <c r="D24" t="s">
        <v>786</v>
      </c>
      <c r="E24" t="s">
        <v>780</v>
      </c>
      <c r="F24">
        <v>16940</v>
      </c>
      <c r="G24" s="2">
        <f t="shared" si="0"/>
        <v>2541</v>
      </c>
      <c r="H24">
        <v>5</v>
      </c>
    </row>
    <row r="25" spans="1:8" x14ac:dyDescent="0.25">
      <c r="A25" s="1">
        <v>45512</v>
      </c>
      <c r="B25" t="s">
        <v>32</v>
      </c>
      <c r="C25" t="s">
        <v>7</v>
      </c>
      <c r="D25" t="s">
        <v>788</v>
      </c>
      <c r="E25" t="s">
        <v>778</v>
      </c>
      <c r="F25">
        <v>2845</v>
      </c>
      <c r="G25" s="2">
        <f t="shared" si="0"/>
        <v>426.75</v>
      </c>
      <c r="H25">
        <v>4</v>
      </c>
    </row>
    <row r="26" spans="1:8" x14ac:dyDescent="0.25">
      <c r="A26" s="1">
        <v>45387</v>
      </c>
      <c r="B26" t="s">
        <v>33</v>
      </c>
      <c r="C26" t="s">
        <v>6</v>
      </c>
      <c r="D26" t="s">
        <v>787</v>
      </c>
      <c r="E26" t="s">
        <v>779</v>
      </c>
      <c r="F26">
        <v>74375</v>
      </c>
      <c r="G26" s="2">
        <f t="shared" si="0"/>
        <v>11156.25</v>
      </c>
      <c r="H26">
        <v>3</v>
      </c>
    </row>
    <row r="27" spans="1:8" x14ac:dyDescent="0.25">
      <c r="A27" s="1">
        <v>45428</v>
      </c>
      <c r="B27" t="s">
        <v>34</v>
      </c>
      <c r="C27" t="s">
        <v>3</v>
      </c>
      <c r="D27" t="s">
        <v>786</v>
      </c>
      <c r="E27" t="s">
        <v>779</v>
      </c>
      <c r="F27">
        <v>71816</v>
      </c>
      <c r="G27" s="2">
        <f t="shared" si="0"/>
        <v>10772.4</v>
      </c>
      <c r="H27">
        <v>1</v>
      </c>
    </row>
    <row r="28" spans="1:8" x14ac:dyDescent="0.25">
      <c r="A28" s="1">
        <v>45530</v>
      </c>
      <c r="B28" t="s">
        <v>35</v>
      </c>
      <c r="C28" t="s">
        <v>5</v>
      </c>
      <c r="D28" t="s">
        <v>787</v>
      </c>
      <c r="E28" t="s">
        <v>778</v>
      </c>
      <c r="F28">
        <v>12033</v>
      </c>
      <c r="G28" s="2">
        <f t="shared" si="0"/>
        <v>1804.95</v>
      </c>
      <c r="H28">
        <v>1</v>
      </c>
    </row>
    <row r="29" spans="1:8" x14ac:dyDescent="0.25">
      <c r="A29" s="1">
        <v>45605</v>
      </c>
      <c r="B29" t="s">
        <v>36</v>
      </c>
      <c r="C29" t="s">
        <v>4</v>
      </c>
      <c r="D29" t="s">
        <v>786</v>
      </c>
      <c r="E29" t="s">
        <v>779</v>
      </c>
      <c r="F29">
        <v>22331</v>
      </c>
      <c r="G29" s="2">
        <f t="shared" si="0"/>
        <v>3349.65</v>
      </c>
      <c r="H29">
        <v>1</v>
      </c>
    </row>
    <row r="30" spans="1:8" x14ac:dyDescent="0.25">
      <c r="A30" s="1">
        <v>45618</v>
      </c>
      <c r="B30" t="s">
        <v>37</v>
      </c>
      <c r="C30" t="s">
        <v>3</v>
      </c>
      <c r="D30" t="s">
        <v>786</v>
      </c>
      <c r="E30" t="s">
        <v>779</v>
      </c>
      <c r="F30">
        <v>57075</v>
      </c>
      <c r="G30" s="2">
        <f t="shared" si="0"/>
        <v>8561.25</v>
      </c>
      <c r="H30">
        <v>5</v>
      </c>
    </row>
    <row r="31" spans="1:8" x14ac:dyDescent="0.25">
      <c r="A31" s="1">
        <v>45592</v>
      </c>
      <c r="B31" t="s">
        <v>38</v>
      </c>
      <c r="C31" t="s">
        <v>3</v>
      </c>
      <c r="D31" t="s">
        <v>786</v>
      </c>
      <c r="E31" t="s">
        <v>781</v>
      </c>
      <c r="F31">
        <v>30526</v>
      </c>
      <c r="G31" s="2">
        <f t="shared" si="0"/>
        <v>4578.8999999999996</v>
      </c>
      <c r="H31">
        <v>2</v>
      </c>
    </row>
    <row r="32" spans="1:8" x14ac:dyDescent="0.25">
      <c r="A32" s="1">
        <v>45469</v>
      </c>
      <c r="B32" t="s">
        <v>39</v>
      </c>
      <c r="C32" t="s">
        <v>3</v>
      </c>
      <c r="D32" t="s">
        <v>786</v>
      </c>
      <c r="E32" t="s">
        <v>779</v>
      </c>
      <c r="F32">
        <v>9971</v>
      </c>
      <c r="G32" s="2">
        <f t="shared" si="0"/>
        <v>1495.6499999999999</v>
      </c>
      <c r="H32">
        <v>1</v>
      </c>
    </row>
    <row r="33" spans="1:8" x14ac:dyDescent="0.25">
      <c r="A33" s="1">
        <v>45341</v>
      </c>
      <c r="B33" t="s">
        <v>40</v>
      </c>
      <c r="C33" t="s">
        <v>8</v>
      </c>
      <c r="D33" t="s">
        <v>788</v>
      </c>
      <c r="E33" t="s">
        <v>780</v>
      </c>
      <c r="F33">
        <v>7151</v>
      </c>
      <c r="G33" s="2">
        <f t="shared" si="0"/>
        <v>1072.6499999999999</v>
      </c>
      <c r="H33">
        <v>4</v>
      </c>
    </row>
    <row r="34" spans="1:8" x14ac:dyDescent="0.25">
      <c r="A34" s="1">
        <v>45454</v>
      </c>
      <c r="B34" t="s">
        <v>41</v>
      </c>
      <c r="C34" t="s">
        <v>5</v>
      </c>
      <c r="D34" t="s">
        <v>787</v>
      </c>
      <c r="E34" t="s">
        <v>778</v>
      </c>
      <c r="F34">
        <v>30883</v>
      </c>
      <c r="G34" s="2">
        <f t="shared" si="0"/>
        <v>4632.45</v>
      </c>
      <c r="H34">
        <v>4</v>
      </c>
    </row>
    <row r="35" spans="1:8" x14ac:dyDescent="0.25">
      <c r="A35" s="1">
        <v>45520</v>
      </c>
      <c r="B35" t="s">
        <v>42</v>
      </c>
      <c r="C35" t="s">
        <v>3</v>
      </c>
      <c r="D35" t="s">
        <v>786</v>
      </c>
      <c r="E35" t="s">
        <v>778</v>
      </c>
      <c r="F35">
        <v>55864</v>
      </c>
      <c r="G35" s="2">
        <f t="shared" si="0"/>
        <v>8379.6</v>
      </c>
      <c r="H35">
        <v>4</v>
      </c>
    </row>
    <row r="36" spans="1:8" x14ac:dyDescent="0.25">
      <c r="A36" s="1">
        <v>45601</v>
      </c>
      <c r="B36" t="s">
        <v>43</v>
      </c>
      <c r="C36" t="s">
        <v>4</v>
      </c>
      <c r="D36" t="s">
        <v>786</v>
      </c>
      <c r="E36" t="s">
        <v>778</v>
      </c>
      <c r="F36">
        <v>70211</v>
      </c>
      <c r="G36" s="2">
        <f t="shared" si="0"/>
        <v>10531.65</v>
      </c>
      <c r="H36">
        <v>3</v>
      </c>
    </row>
    <row r="37" spans="1:8" x14ac:dyDescent="0.25">
      <c r="A37" s="1">
        <v>45384</v>
      </c>
      <c r="B37" t="s">
        <v>44</v>
      </c>
      <c r="C37" t="s">
        <v>3</v>
      </c>
      <c r="D37" t="s">
        <v>786</v>
      </c>
      <c r="E37" t="s">
        <v>778</v>
      </c>
      <c r="F37">
        <v>69847</v>
      </c>
      <c r="G37" s="2">
        <f t="shared" si="0"/>
        <v>10477.049999999999</v>
      </c>
      <c r="H37">
        <v>3</v>
      </c>
    </row>
    <row r="38" spans="1:8" x14ac:dyDescent="0.25">
      <c r="A38" s="1">
        <v>45371</v>
      </c>
      <c r="B38" t="s">
        <v>45</v>
      </c>
      <c r="C38" t="s">
        <v>8</v>
      </c>
      <c r="D38" t="s">
        <v>788</v>
      </c>
      <c r="E38" t="s">
        <v>778</v>
      </c>
      <c r="F38">
        <v>17167</v>
      </c>
      <c r="G38" s="2">
        <f t="shared" si="0"/>
        <v>2575.0499999999997</v>
      </c>
      <c r="H38">
        <v>5</v>
      </c>
    </row>
    <row r="39" spans="1:8" x14ac:dyDescent="0.25">
      <c r="A39" s="1">
        <v>45307</v>
      </c>
      <c r="B39" t="s">
        <v>46</v>
      </c>
      <c r="C39" t="s">
        <v>5</v>
      </c>
      <c r="D39" t="s">
        <v>787</v>
      </c>
      <c r="E39" t="s">
        <v>780</v>
      </c>
      <c r="F39">
        <v>64281</v>
      </c>
      <c r="G39" s="2">
        <f t="shared" si="0"/>
        <v>9642.15</v>
      </c>
      <c r="H39">
        <v>1</v>
      </c>
    </row>
    <row r="40" spans="1:8" x14ac:dyDescent="0.25">
      <c r="A40" s="1">
        <v>45367</v>
      </c>
      <c r="B40" t="s">
        <v>47</v>
      </c>
      <c r="C40" t="s">
        <v>6</v>
      </c>
      <c r="D40" t="s">
        <v>787</v>
      </c>
      <c r="E40" t="s">
        <v>778</v>
      </c>
      <c r="F40">
        <v>40163</v>
      </c>
      <c r="G40" s="2">
        <f t="shared" si="0"/>
        <v>6024.45</v>
      </c>
      <c r="H40">
        <v>2</v>
      </c>
    </row>
    <row r="41" spans="1:8" x14ac:dyDescent="0.25">
      <c r="A41" s="1">
        <v>45539</v>
      </c>
      <c r="B41" t="s">
        <v>48</v>
      </c>
      <c r="C41" t="s">
        <v>6</v>
      </c>
      <c r="D41" t="s">
        <v>787</v>
      </c>
      <c r="E41" t="s">
        <v>779</v>
      </c>
      <c r="F41">
        <v>66156</v>
      </c>
      <c r="G41" s="2">
        <f t="shared" si="0"/>
        <v>9923.4</v>
      </c>
      <c r="H41">
        <v>2</v>
      </c>
    </row>
    <row r="42" spans="1:8" x14ac:dyDescent="0.25">
      <c r="A42" s="1">
        <v>45653</v>
      </c>
      <c r="B42" t="s">
        <v>49</v>
      </c>
      <c r="C42" t="s">
        <v>8</v>
      </c>
      <c r="D42" t="s">
        <v>788</v>
      </c>
      <c r="E42" t="s">
        <v>781</v>
      </c>
      <c r="F42">
        <v>26150</v>
      </c>
      <c r="G42" s="2">
        <f t="shared" si="0"/>
        <v>3922.5</v>
      </c>
      <c r="H42">
        <v>1</v>
      </c>
    </row>
    <row r="43" spans="1:8" x14ac:dyDescent="0.25">
      <c r="A43" s="1">
        <v>45551</v>
      </c>
      <c r="B43" t="s">
        <v>50</v>
      </c>
      <c r="C43" t="s">
        <v>5</v>
      </c>
      <c r="D43" t="s">
        <v>787</v>
      </c>
      <c r="E43" t="s">
        <v>778</v>
      </c>
      <c r="F43">
        <v>39732</v>
      </c>
      <c r="G43" s="2">
        <f t="shared" si="0"/>
        <v>5959.8</v>
      </c>
      <c r="H43">
        <v>1</v>
      </c>
    </row>
    <row r="44" spans="1:8" x14ac:dyDescent="0.25">
      <c r="A44" s="1">
        <v>45378</v>
      </c>
      <c r="B44" t="s">
        <v>51</v>
      </c>
      <c r="C44" t="s">
        <v>3</v>
      </c>
      <c r="D44" t="s">
        <v>786</v>
      </c>
      <c r="E44" t="s">
        <v>778</v>
      </c>
      <c r="F44">
        <v>7270</v>
      </c>
      <c r="G44" s="2">
        <f t="shared" si="0"/>
        <v>1090.5</v>
      </c>
      <c r="H44">
        <v>1</v>
      </c>
    </row>
    <row r="45" spans="1:8" x14ac:dyDescent="0.25">
      <c r="A45" s="1">
        <v>45459</v>
      </c>
      <c r="B45" t="s">
        <v>52</v>
      </c>
      <c r="C45" t="s">
        <v>6</v>
      </c>
      <c r="D45" t="s">
        <v>787</v>
      </c>
      <c r="E45" t="s">
        <v>778</v>
      </c>
      <c r="F45">
        <v>61674</v>
      </c>
      <c r="G45" s="2">
        <f t="shared" si="0"/>
        <v>9251.1</v>
      </c>
      <c r="H45">
        <v>4</v>
      </c>
    </row>
    <row r="46" spans="1:8" x14ac:dyDescent="0.25">
      <c r="A46" s="1">
        <v>45389</v>
      </c>
      <c r="B46" t="s">
        <v>53</v>
      </c>
      <c r="C46" t="s">
        <v>4</v>
      </c>
      <c r="D46" t="s">
        <v>786</v>
      </c>
      <c r="E46" t="s">
        <v>781</v>
      </c>
      <c r="F46">
        <v>66114</v>
      </c>
      <c r="G46" s="2">
        <f t="shared" si="0"/>
        <v>9917.1</v>
      </c>
      <c r="H46">
        <v>2</v>
      </c>
    </row>
    <row r="47" spans="1:8" x14ac:dyDescent="0.25">
      <c r="A47" s="1">
        <v>45308</v>
      </c>
      <c r="B47" t="s">
        <v>54</v>
      </c>
      <c r="C47" t="s">
        <v>5</v>
      </c>
      <c r="D47" t="s">
        <v>787</v>
      </c>
      <c r="E47" t="s">
        <v>779</v>
      </c>
      <c r="F47">
        <v>19902</v>
      </c>
      <c r="G47" s="2">
        <f t="shared" si="0"/>
        <v>2985.2999999999997</v>
      </c>
      <c r="H47">
        <v>5</v>
      </c>
    </row>
    <row r="48" spans="1:8" x14ac:dyDescent="0.25">
      <c r="A48" s="1">
        <v>45413</v>
      </c>
      <c r="B48" t="s">
        <v>55</v>
      </c>
      <c r="C48" t="s">
        <v>4</v>
      </c>
      <c r="D48" t="s">
        <v>786</v>
      </c>
      <c r="E48" t="s">
        <v>781</v>
      </c>
      <c r="F48">
        <v>44135</v>
      </c>
      <c r="G48" s="2">
        <f t="shared" si="0"/>
        <v>6620.25</v>
      </c>
      <c r="H48">
        <v>2</v>
      </c>
    </row>
    <row r="49" spans="1:8" x14ac:dyDescent="0.25">
      <c r="A49" s="1">
        <v>45491</v>
      </c>
      <c r="B49" t="s">
        <v>56</v>
      </c>
      <c r="C49" t="s">
        <v>6</v>
      </c>
      <c r="D49" t="s">
        <v>787</v>
      </c>
      <c r="E49" t="s">
        <v>778</v>
      </c>
      <c r="F49">
        <v>77498</v>
      </c>
      <c r="G49" s="2">
        <f t="shared" si="0"/>
        <v>11624.699999999999</v>
      </c>
      <c r="H49">
        <v>4</v>
      </c>
    </row>
    <row r="50" spans="1:8" x14ac:dyDescent="0.25">
      <c r="A50" s="1">
        <v>45463</v>
      </c>
      <c r="B50" t="s">
        <v>57</v>
      </c>
      <c r="C50" t="s">
        <v>3</v>
      </c>
      <c r="D50" t="s">
        <v>786</v>
      </c>
      <c r="E50" t="s">
        <v>778</v>
      </c>
      <c r="F50">
        <v>23627</v>
      </c>
      <c r="G50" s="2">
        <f t="shared" si="0"/>
        <v>3544.0499999999997</v>
      </c>
      <c r="H50">
        <v>5</v>
      </c>
    </row>
    <row r="51" spans="1:8" x14ac:dyDescent="0.25">
      <c r="A51" s="1">
        <v>45310</v>
      </c>
      <c r="B51" t="s">
        <v>58</v>
      </c>
      <c r="C51" t="s">
        <v>5</v>
      </c>
      <c r="D51" t="s">
        <v>787</v>
      </c>
      <c r="E51" t="s">
        <v>778</v>
      </c>
      <c r="F51">
        <v>78273</v>
      </c>
      <c r="G51" s="2">
        <f t="shared" si="0"/>
        <v>11740.949999999999</v>
      </c>
      <c r="H51">
        <v>5</v>
      </c>
    </row>
    <row r="52" spans="1:8" x14ac:dyDescent="0.25">
      <c r="A52" s="1">
        <v>45465</v>
      </c>
      <c r="B52" t="s">
        <v>59</v>
      </c>
      <c r="C52" t="s">
        <v>7</v>
      </c>
      <c r="D52" t="s">
        <v>788</v>
      </c>
      <c r="E52" t="s">
        <v>778</v>
      </c>
      <c r="F52">
        <v>76081</v>
      </c>
      <c r="G52" s="2">
        <f t="shared" si="0"/>
        <v>11412.15</v>
      </c>
      <c r="H52">
        <v>2</v>
      </c>
    </row>
    <row r="53" spans="1:8" x14ac:dyDescent="0.25">
      <c r="A53" s="1">
        <v>45392</v>
      </c>
      <c r="B53" t="s">
        <v>60</v>
      </c>
      <c r="C53" t="s">
        <v>3</v>
      </c>
      <c r="D53" t="s">
        <v>786</v>
      </c>
      <c r="E53" t="s">
        <v>781</v>
      </c>
      <c r="F53">
        <v>60650</v>
      </c>
      <c r="G53" s="2">
        <f t="shared" si="0"/>
        <v>9097.5</v>
      </c>
      <c r="H53">
        <v>4</v>
      </c>
    </row>
    <row r="54" spans="1:8" x14ac:dyDescent="0.25">
      <c r="A54" s="1">
        <v>45536</v>
      </c>
      <c r="B54" t="s">
        <v>61</v>
      </c>
      <c r="C54" t="s">
        <v>6</v>
      </c>
      <c r="D54" t="s">
        <v>787</v>
      </c>
      <c r="E54" t="s">
        <v>780</v>
      </c>
      <c r="F54">
        <v>74922</v>
      </c>
      <c r="G54" s="2">
        <f t="shared" si="0"/>
        <v>11238.3</v>
      </c>
      <c r="H54">
        <v>2</v>
      </c>
    </row>
    <row r="55" spans="1:8" x14ac:dyDescent="0.25">
      <c r="A55" s="1">
        <v>45421</v>
      </c>
      <c r="B55" t="s">
        <v>62</v>
      </c>
      <c r="C55" t="s">
        <v>7</v>
      </c>
      <c r="D55" t="s">
        <v>788</v>
      </c>
      <c r="E55" t="s">
        <v>780</v>
      </c>
      <c r="F55">
        <v>61703</v>
      </c>
      <c r="G55" s="2">
        <f t="shared" si="0"/>
        <v>9255.4499999999989</v>
      </c>
      <c r="H55">
        <v>1</v>
      </c>
    </row>
    <row r="56" spans="1:8" x14ac:dyDescent="0.25">
      <c r="A56" s="1">
        <v>45518</v>
      </c>
      <c r="B56" t="s">
        <v>37</v>
      </c>
      <c r="C56" t="s">
        <v>6</v>
      </c>
      <c r="D56" t="s">
        <v>787</v>
      </c>
      <c r="E56" t="s">
        <v>779</v>
      </c>
      <c r="F56">
        <v>43740</v>
      </c>
      <c r="G56" s="2">
        <f t="shared" si="0"/>
        <v>6561</v>
      </c>
      <c r="H56">
        <v>4</v>
      </c>
    </row>
    <row r="57" spans="1:8" x14ac:dyDescent="0.25">
      <c r="A57" s="1">
        <v>45436</v>
      </c>
      <c r="B57" t="s">
        <v>63</v>
      </c>
      <c r="C57" t="s">
        <v>8</v>
      </c>
      <c r="D57" t="s">
        <v>788</v>
      </c>
      <c r="E57" t="s">
        <v>781</v>
      </c>
      <c r="F57">
        <v>14893</v>
      </c>
      <c r="G57" s="2">
        <f t="shared" si="0"/>
        <v>2233.9499999999998</v>
      </c>
      <c r="H57">
        <v>4</v>
      </c>
    </row>
    <row r="58" spans="1:8" x14ac:dyDescent="0.25">
      <c r="A58" s="1">
        <v>45355</v>
      </c>
      <c r="B58" t="s">
        <v>64</v>
      </c>
      <c r="C58" t="s">
        <v>7</v>
      </c>
      <c r="D58" t="s">
        <v>788</v>
      </c>
      <c r="E58" t="s">
        <v>780</v>
      </c>
      <c r="F58">
        <v>27720</v>
      </c>
      <c r="G58" s="2">
        <f t="shared" si="0"/>
        <v>4158</v>
      </c>
      <c r="H58">
        <v>3</v>
      </c>
    </row>
    <row r="59" spans="1:8" x14ac:dyDescent="0.25">
      <c r="A59" s="1">
        <v>45374</v>
      </c>
      <c r="B59" t="s">
        <v>65</v>
      </c>
      <c r="C59" t="s">
        <v>4</v>
      </c>
      <c r="D59" t="s">
        <v>786</v>
      </c>
      <c r="E59" t="s">
        <v>779</v>
      </c>
      <c r="F59">
        <v>30044</v>
      </c>
      <c r="G59" s="2">
        <f t="shared" si="0"/>
        <v>4506.5999999999995</v>
      </c>
      <c r="H59">
        <v>4</v>
      </c>
    </row>
    <row r="60" spans="1:8" x14ac:dyDescent="0.25">
      <c r="A60" s="1">
        <v>45343</v>
      </c>
      <c r="B60" t="s">
        <v>66</v>
      </c>
      <c r="C60" t="s">
        <v>8</v>
      </c>
      <c r="D60" t="s">
        <v>788</v>
      </c>
      <c r="E60" t="s">
        <v>779</v>
      </c>
      <c r="F60">
        <v>28520</v>
      </c>
      <c r="G60" s="2">
        <f t="shared" si="0"/>
        <v>4278</v>
      </c>
      <c r="H60">
        <v>3</v>
      </c>
    </row>
    <row r="61" spans="1:8" x14ac:dyDescent="0.25">
      <c r="A61" s="1">
        <v>45344</v>
      </c>
      <c r="B61" t="s">
        <v>67</v>
      </c>
      <c r="C61" t="s">
        <v>3</v>
      </c>
      <c r="D61" t="s">
        <v>786</v>
      </c>
      <c r="E61" t="s">
        <v>778</v>
      </c>
      <c r="F61">
        <v>48587</v>
      </c>
      <c r="G61" s="2">
        <f t="shared" si="0"/>
        <v>7288.05</v>
      </c>
      <c r="H61">
        <v>3</v>
      </c>
    </row>
    <row r="62" spans="1:8" x14ac:dyDescent="0.25">
      <c r="A62" s="1">
        <v>45546</v>
      </c>
      <c r="B62" t="s">
        <v>68</v>
      </c>
      <c r="C62" t="s">
        <v>5</v>
      </c>
      <c r="D62" t="s">
        <v>787</v>
      </c>
      <c r="E62" t="s">
        <v>780</v>
      </c>
      <c r="F62">
        <v>71509</v>
      </c>
      <c r="G62" s="2">
        <f t="shared" si="0"/>
        <v>10726.35</v>
      </c>
      <c r="H62">
        <v>1</v>
      </c>
    </row>
    <row r="63" spans="1:8" x14ac:dyDescent="0.25">
      <c r="A63" s="1">
        <v>45373</v>
      </c>
      <c r="B63" t="s">
        <v>69</v>
      </c>
      <c r="C63" t="s">
        <v>5</v>
      </c>
      <c r="D63" t="s">
        <v>787</v>
      </c>
      <c r="E63" t="s">
        <v>778</v>
      </c>
      <c r="F63">
        <v>19727</v>
      </c>
      <c r="G63" s="2">
        <f t="shared" si="0"/>
        <v>2959.0499999999997</v>
      </c>
      <c r="H63">
        <v>2</v>
      </c>
    </row>
    <row r="64" spans="1:8" x14ac:dyDescent="0.25">
      <c r="A64" s="1">
        <v>45463</v>
      </c>
      <c r="B64" t="s">
        <v>70</v>
      </c>
      <c r="C64" t="s">
        <v>3</v>
      </c>
      <c r="D64" t="s">
        <v>786</v>
      </c>
      <c r="E64" t="s">
        <v>781</v>
      </c>
      <c r="F64">
        <v>43335</v>
      </c>
      <c r="G64" s="2">
        <f t="shared" si="0"/>
        <v>6500.25</v>
      </c>
      <c r="H64">
        <v>2</v>
      </c>
    </row>
    <row r="65" spans="1:8" x14ac:dyDescent="0.25">
      <c r="A65" s="1">
        <v>45451</v>
      </c>
      <c r="B65" t="s">
        <v>71</v>
      </c>
      <c r="C65" t="s">
        <v>7</v>
      </c>
      <c r="D65" t="s">
        <v>788</v>
      </c>
      <c r="E65" t="s">
        <v>778</v>
      </c>
      <c r="F65">
        <v>75810</v>
      </c>
      <c r="G65" s="2">
        <f t="shared" si="0"/>
        <v>11371.5</v>
      </c>
      <c r="H65">
        <v>4</v>
      </c>
    </row>
    <row r="66" spans="1:8" x14ac:dyDescent="0.25">
      <c r="A66" s="1">
        <v>45633</v>
      </c>
      <c r="B66" t="s">
        <v>72</v>
      </c>
      <c r="C66" t="s">
        <v>8</v>
      </c>
      <c r="D66" t="s">
        <v>788</v>
      </c>
      <c r="E66" t="s">
        <v>778</v>
      </c>
      <c r="F66">
        <v>9931</v>
      </c>
      <c r="G66" s="2">
        <f t="shared" si="0"/>
        <v>1489.6499999999999</v>
      </c>
      <c r="H66">
        <v>3</v>
      </c>
    </row>
    <row r="67" spans="1:8" x14ac:dyDescent="0.25">
      <c r="A67" s="1">
        <v>45323</v>
      </c>
      <c r="B67" t="s">
        <v>73</v>
      </c>
      <c r="C67" t="s">
        <v>8</v>
      </c>
      <c r="D67" t="s">
        <v>788</v>
      </c>
      <c r="E67" t="s">
        <v>781</v>
      </c>
      <c r="F67">
        <v>7501</v>
      </c>
      <c r="G67" s="2">
        <f t="shared" ref="G67:G130" si="1">F67*0.15</f>
        <v>1125.1499999999999</v>
      </c>
      <c r="H67">
        <v>2</v>
      </c>
    </row>
    <row r="68" spans="1:8" x14ac:dyDescent="0.25">
      <c r="A68" s="1">
        <v>45498</v>
      </c>
      <c r="B68" t="s">
        <v>74</v>
      </c>
      <c r="C68" t="s">
        <v>8</v>
      </c>
      <c r="D68" t="s">
        <v>788</v>
      </c>
      <c r="E68" t="s">
        <v>780</v>
      </c>
      <c r="F68">
        <v>53031</v>
      </c>
      <c r="G68" s="2">
        <f t="shared" si="1"/>
        <v>7954.65</v>
      </c>
      <c r="H68">
        <v>4</v>
      </c>
    </row>
    <row r="69" spans="1:8" x14ac:dyDescent="0.25">
      <c r="A69" s="1">
        <v>45606</v>
      </c>
      <c r="B69" t="s">
        <v>75</v>
      </c>
      <c r="C69" t="s">
        <v>7</v>
      </c>
      <c r="D69" t="s">
        <v>788</v>
      </c>
      <c r="E69" t="s">
        <v>781</v>
      </c>
      <c r="F69">
        <v>59765</v>
      </c>
      <c r="G69" s="2">
        <f t="shared" si="1"/>
        <v>8964.75</v>
      </c>
      <c r="H69">
        <v>2</v>
      </c>
    </row>
    <row r="70" spans="1:8" x14ac:dyDescent="0.25">
      <c r="A70" s="1">
        <v>45612</v>
      </c>
      <c r="B70" t="s">
        <v>76</v>
      </c>
      <c r="C70" t="s">
        <v>3</v>
      </c>
      <c r="D70" t="s">
        <v>786</v>
      </c>
      <c r="E70" t="s">
        <v>778</v>
      </c>
      <c r="F70">
        <v>21563</v>
      </c>
      <c r="G70" s="2">
        <f t="shared" si="1"/>
        <v>3234.45</v>
      </c>
      <c r="H70">
        <v>2</v>
      </c>
    </row>
    <row r="71" spans="1:8" x14ac:dyDescent="0.25">
      <c r="A71" s="1">
        <v>45516</v>
      </c>
      <c r="B71" t="s">
        <v>77</v>
      </c>
      <c r="C71" t="s">
        <v>8</v>
      </c>
      <c r="D71" t="s">
        <v>788</v>
      </c>
      <c r="E71" t="s">
        <v>779</v>
      </c>
      <c r="F71">
        <v>59925</v>
      </c>
      <c r="G71" s="2">
        <f t="shared" si="1"/>
        <v>8988.75</v>
      </c>
      <c r="H71">
        <v>4</v>
      </c>
    </row>
    <row r="72" spans="1:8" x14ac:dyDescent="0.25">
      <c r="A72" s="1">
        <v>45445</v>
      </c>
      <c r="B72" t="s">
        <v>78</v>
      </c>
      <c r="C72" t="s">
        <v>3</v>
      </c>
      <c r="D72" t="s">
        <v>786</v>
      </c>
      <c r="E72" t="s">
        <v>780</v>
      </c>
      <c r="F72">
        <v>6984</v>
      </c>
      <c r="G72" s="2">
        <f t="shared" si="1"/>
        <v>1047.5999999999999</v>
      </c>
      <c r="H72">
        <v>1</v>
      </c>
    </row>
    <row r="73" spans="1:8" x14ac:dyDescent="0.25">
      <c r="A73" s="1">
        <v>45619</v>
      </c>
      <c r="B73" t="s">
        <v>79</v>
      </c>
      <c r="C73" t="s">
        <v>3</v>
      </c>
      <c r="D73" t="s">
        <v>786</v>
      </c>
      <c r="E73" t="s">
        <v>780</v>
      </c>
      <c r="F73">
        <v>25592</v>
      </c>
      <c r="G73" s="2">
        <f t="shared" si="1"/>
        <v>3838.7999999999997</v>
      </c>
      <c r="H73">
        <v>4</v>
      </c>
    </row>
    <row r="74" spans="1:8" x14ac:dyDescent="0.25">
      <c r="A74" s="1">
        <v>45455</v>
      </c>
      <c r="B74" t="s">
        <v>80</v>
      </c>
      <c r="C74" t="s">
        <v>7</v>
      </c>
      <c r="D74" t="s">
        <v>788</v>
      </c>
      <c r="E74" t="s">
        <v>779</v>
      </c>
      <c r="F74">
        <v>43295</v>
      </c>
      <c r="G74" s="2">
        <f t="shared" si="1"/>
        <v>6494.25</v>
      </c>
      <c r="H74">
        <v>2</v>
      </c>
    </row>
    <row r="75" spans="1:8" x14ac:dyDescent="0.25">
      <c r="A75" s="1">
        <v>45313</v>
      </c>
      <c r="B75" t="s">
        <v>81</v>
      </c>
      <c r="C75" t="s">
        <v>3</v>
      </c>
      <c r="D75" t="s">
        <v>786</v>
      </c>
      <c r="E75" t="s">
        <v>778</v>
      </c>
      <c r="F75">
        <v>2583</v>
      </c>
      <c r="G75" s="2">
        <f t="shared" si="1"/>
        <v>387.45</v>
      </c>
      <c r="H75">
        <v>4</v>
      </c>
    </row>
    <row r="76" spans="1:8" x14ac:dyDescent="0.25">
      <c r="A76" s="1">
        <v>45404</v>
      </c>
      <c r="B76" t="s">
        <v>82</v>
      </c>
      <c r="C76" t="s">
        <v>4</v>
      </c>
      <c r="D76" t="s">
        <v>786</v>
      </c>
      <c r="E76" t="s">
        <v>778</v>
      </c>
      <c r="F76">
        <v>40469</v>
      </c>
      <c r="G76" s="2">
        <f t="shared" si="1"/>
        <v>6070.3499999999995</v>
      </c>
      <c r="H76">
        <v>1</v>
      </c>
    </row>
    <row r="77" spans="1:8" x14ac:dyDescent="0.25">
      <c r="A77" s="1">
        <v>45524</v>
      </c>
      <c r="B77" t="s">
        <v>83</v>
      </c>
      <c r="C77" t="s">
        <v>3</v>
      </c>
      <c r="D77" t="s">
        <v>786</v>
      </c>
      <c r="E77" t="s">
        <v>778</v>
      </c>
      <c r="F77">
        <v>76147</v>
      </c>
      <c r="G77" s="2">
        <f t="shared" si="1"/>
        <v>11422.05</v>
      </c>
      <c r="H77">
        <v>4</v>
      </c>
    </row>
    <row r="78" spans="1:8" x14ac:dyDescent="0.25">
      <c r="A78" s="1">
        <v>45530</v>
      </c>
      <c r="B78" t="s">
        <v>84</v>
      </c>
      <c r="C78" t="s">
        <v>8</v>
      </c>
      <c r="D78" t="s">
        <v>788</v>
      </c>
      <c r="E78" t="s">
        <v>778</v>
      </c>
      <c r="F78">
        <v>27520</v>
      </c>
      <c r="G78" s="2">
        <f t="shared" si="1"/>
        <v>4128</v>
      </c>
      <c r="H78">
        <v>3</v>
      </c>
    </row>
    <row r="79" spans="1:8" x14ac:dyDescent="0.25">
      <c r="A79" s="1">
        <v>45386</v>
      </c>
      <c r="B79" t="s">
        <v>85</v>
      </c>
      <c r="C79" t="s">
        <v>5</v>
      </c>
      <c r="D79" t="s">
        <v>787</v>
      </c>
      <c r="E79" t="s">
        <v>779</v>
      </c>
      <c r="F79">
        <v>17888</v>
      </c>
      <c r="G79" s="2">
        <f t="shared" si="1"/>
        <v>2683.2</v>
      </c>
      <c r="H79">
        <v>1</v>
      </c>
    </row>
    <row r="80" spans="1:8" x14ac:dyDescent="0.25">
      <c r="A80" s="1">
        <v>45554</v>
      </c>
      <c r="B80" t="s">
        <v>86</v>
      </c>
      <c r="C80" t="s">
        <v>7</v>
      </c>
      <c r="D80" t="s">
        <v>788</v>
      </c>
      <c r="E80" t="s">
        <v>778</v>
      </c>
      <c r="F80">
        <v>16958</v>
      </c>
      <c r="G80" s="2">
        <f t="shared" si="1"/>
        <v>2543.6999999999998</v>
      </c>
      <c r="H80">
        <v>5</v>
      </c>
    </row>
    <row r="81" spans="1:8" x14ac:dyDescent="0.25">
      <c r="A81" s="1">
        <v>45653</v>
      </c>
      <c r="B81" t="s">
        <v>87</v>
      </c>
      <c r="C81" t="s">
        <v>3</v>
      </c>
      <c r="D81" t="s">
        <v>786</v>
      </c>
      <c r="E81" t="s">
        <v>781</v>
      </c>
      <c r="F81">
        <v>34090</v>
      </c>
      <c r="G81" s="2">
        <f t="shared" si="1"/>
        <v>5113.5</v>
      </c>
      <c r="H81">
        <v>1</v>
      </c>
    </row>
    <row r="82" spans="1:8" x14ac:dyDescent="0.25">
      <c r="A82" s="1">
        <v>45364</v>
      </c>
      <c r="B82" t="s">
        <v>88</v>
      </c>
      <c r="C82" t="s">
        <v>3</v>
      </c>
      <c r="D82" t="s">
        <v>786</v>
      </c>
      <c r="E82" t="s">
        <v>778</v>
      </c>
      <c r="F82">
        <v>73908</v>
      </c>
      <c r="G82" s="2">
        <f t="shared" si="1"/>
        <v>11086.199999999999</v>
      </c>
      <c r="H82">
        <v>1</v>
      </c>
    </row>
    <row r="83" spans="1:8" x14ac:dyDescent="0.25">
      <c r="A83" s="1">
        <v>45573</v>
      </c>
      <c r="B83" t="s">
        <v>89</v>
      </c>
      <c r="C83" t="s">
        <v>4</v>
      </c>
      <c r="D83" t="s">
        <v>786</v>
      </c>
      <c r="E83" t="s">
        <v>779</v>
      </c>
      <c r="F83">
        <v>37294</v>
      </c>
      <c r="G83" s="2">
        <f t="shared" si="1"/>
        <v>5594.0999999999995</v>
      </c>
      <c r="H83">
        <v>3</v>
      </c>
    </row>
    <row r="84" spans="1:8" x14ac:dyDescent="0.25">
      <c r="A84" s="1">
        <v>45318</v>
      </c>
      <c r="B84" t="s">
        <v>90</v>
      </c>
      <c r="C84" t="s">
        <v>5</v>
      </c>
      <c r="D84" t="s">
        <v>787</v>
      </c>
      <c r="E84" t="s">
        <v>780</v>
      </c>
      <c r="F84">
        <v>6987</v>
      </c>
      <c r="G84" s="2">
        <f t="shared" si="1"/>
        <v>1048.05</v>
      </c>
      <c r="H84">
        <v>2</v>
      </c>
    </row>
    <row r="85" spans="1:8" x14ac:dyDescent="0.25">
      <c r="A85" s="1">
        <v>45309</v>
      </c>
      <c r="B85" t="s">
        <v>91</v>
      </c>
      <c r="C85" t="s">
        <v>7</v>
      </c>
      <c r="D85" t="s">
        <v>788</v>
      </c>
      <c r="E85" t="s">
        <v>780</v>
      </c>
      <c r="F85">
        <v>5463</v>
      </c>
      <c r="G85" s="2">
        <f t="shared" si="1"/>
        <v>819.44999999999993</v>
      </c>
      <c r="H85">
        <v>4</v>
      </c>
    </row>
    <row r="86" spans="1:8" x14ac:dyDescent="0.25">
      <c r="A86" s="1">
        <v>45448</v>
      </c>
      <c r="B86" t="s">
        <v>92</v>
      </c>
      <c r="C86" t="s">
        <v>4</v>
      </c>
      <c r="D86" t="s">
        <v>786</v>
      </c>
      <c r="E86" t="s">
        <v>781</v>
      </c>
      <c r="F86">
        <v>71044</v>
      </c>
      <c r="G86" s="2">
        <f t="shared" si="1"/>
        <v>10656.6</v>
      </c>
      <c r="H86">
        <v>3</v>
      </c>
    </row>
    <row r="87" spans="1:8" x14ac:dyDescent="0.25">
      <c r="A87" s="1">
        <v>45316</v>
      </c>
      <c r="B87" t="s">
        <v>93</v>
      </c>
      <c r="C87" t="s">
        <v>5</v>
      </c>
      <c r="D87" t="s">
        <v>787</v>
      </c>
      <c r="E87" t="s">
        <v>779</v>
      </c>
      <c r="F87">
        <v>66913</v>
      </c>
      <c r="G87" s="2">
        <f t="shared" si="1"/>
        <v>10036.949999999999</v>
      </c>
      <c r="H87">
        <v>2</v>
      </c>
    </row>
    <row r="88" spans="1:8" x14ac:dyDescent="0.25">
      <c r="A88" s="1">
        <v>45367</v>
      </c>
      <c r="B88" t="s">
        <v>94</v>
      </c>
      <c r="C88" t="s">
        <v>4</v>
      </c>
      <c r="D88" t="s">
        <v>786</v>
      </c>
      <c r="E88" t="s">
        <v>781</v>
      </c>
      <c r="F88">
        <v>58214</v>
      </c>
      <c r="G88" s="2">
        <f t="shared" si="1"/>
        <v>8732.1</v>
      </c>
      <c r="H88">
        <v>2</v>
      </c>
    </row>
    <row r="89" spans="1:8" x14ac:dyDescent="0.25">
      <c r="A89" s="1">
        <v>45551</v>
      </c>
      <c r="B89" t="s">
        <v>95</v>
      </c>
      <c r="C89" t="s">
        <v>7</v>
      </c>
      <c r="D89" t="s">
        <v>788</v>
      </c>
      <c r="E89" t="s">
        <v>781</v>
      </c>
      <c r="F89">
        <v>57709</v>
      </c>
      <c r="G89" s="2">
        <f t="shared" si="1"/>
        <v>8656.35</v>
      </c>
      <c r="H89">
        <v>4</v>
      </c>
    </row>
    <row r="90" spans="1:8" x14ac:dyDescent="0.25">
      <c r="A90" s="1">
        <v>45483</v>
      </c>
      <c r="B90" t="s">
        <v>96</v>
      </c>
      <c r="C90" t="s">
        <v>4</v>
      </c>
      <c r="D90" t="s">
        <v>786</v>
      </c>
      <c r="E90" t="s">
        <v>781</v>
      </c>
      <c r="F90">
        <v>74657</v>
      </c>
      <c r="G90" s="2">
        <f t="shared" si="1"/>
        <v>11198.55</v>
      </c>
      <c r="H90">
        <v>1</v>
      </c>
    </row>
    <row r="91" spans="1:8" x14ac:dyDescent="0.25">
      <c r="A91" s="1">
        <v>45377</v>
      </c>
      <c r="B91" t="s">
        <v>97</v>
      </c>
      <c r="C91" t="s">
        <v>5</v>
      </c>
      <c r="D91" t="s">
        <v>787</v>
      </c>
      <c r="E91" t="s">
        <v>781</v>
      </c>
      <c r="F91">
        <v>46062</v>
      </c>
      <c r="G91" s="2">
        <f t="shared" si="1"/>
        <v>6909.3</v>
      </c>
      <c r="H91">
        <v>3</v>
      </c>
    </row>
    <row r="92" spans="1:8" x14ac:dyDescent="0.25">
      <c r="A92" s="1">
        <v>45298</v>
      </c>
      <c r="B92" t="s">
        <v>98</v>
      </c>
      <c r="C92" t="s">
        <v>7</v>
      </c>
      <c r="D92" t="s">
        <v>788</v>
      </c>
      <c r="E92" t="s">
        <v>778</v>
      </c>
      <c r="F92">
        <v>32568</v>
      </c>
      <c r="G92" s="2">
        <f t="shared" si="1"/>
        <v>4885.2</v>
      </c>
      <c r="H92">
        <v>3</v>
      </c>
    </row>
    <row r="93" spans="1:8" x14ac:dyDescent="0.25">
      <c r="A93" s="1">
        <v>45493</v>
      </c>
      <c r="B93" t="s">
        <v>99</v>
      </c>
      <c r="C93" t="s">
        <v>4</v>
      </c>
      <c r="D93" t="s">
        <v>786</v>
      </c>
      <c r="E93" t="s">
        <v>779</v>
      </c>
      <c r="F93">
        <v>39423</v>
      </c>
      <c r="G93" s="2">
        <f t="shared" si="1"/>
        <v>5913.45</v>
      </c>
      <c r="H93">
        <v>5</v>
      </c>
    </row>
    <row r="94" spans="1:8" x14ac:dyDescent="0.25">
      <c r="A94" s="1">
        <v>45619</v>
      </c>
      <c r="B94" t="s">
        <v>100</v>
      </c>
      <c r="C94" t="s">
        <v>7</v>
      </c>
      <c r="D94" t="s">
        <v>788</v>
      </c>
      <c r="E94" t="s">
        <v>780</v>
      </c>
      <c r="F94">
        <v>54103</v>
      </c>
      <c r="G94" s="2">
        <f t="shared" si="1"/>
        <v>8115.45</v>
      </c>
      <c r="H94">
        <v>2</v>
      </c>
    </row>
    <row r="95" spans="1:8" x14ac:dyDescent="0.25">
      <c r="A95" s="1">
        <v>45360</v>
      </c>
      <c r="B95" t="s">
        <v>101</v>
      </c>
      <c r="C95" t="s">
        <v>8</v>
      </c>
      <c r="D95" t="s">
        <v>788</v>
      </c>
      <c r="E95" t="s">
        <v>778</v>
      </c>
      <c r="F95">
        <v>47190</v>
      </c>
      <c r="G95" s="2">
        <f t="shared" si="1"/>
        <v>7078.5</v>
      </c>
      <c r="H95">
        <v>5</v>
      </c>
    </row>
    <row r="96" spans="1:8" x14ac:dyDescent="0.25">
      <c r="A96" s="1">
        <v>45645</v>
      </c>
      <c r="B96" t="s">
        <v>102</v>
      </c>
      <c r="C96" t="s">
        <v>6</v>
      </c>
      <c r="D96" t="s">
        <v>787</v>
      </c>
      <c r="E96" t="s">
        <v>778</v>
      </c>
      <c r="F96">
        <v>26700</v>
      </c>
      <c r="G96" s="2">
        <f t="shared" si="1"/>
        <v>4005</v>
      </c>
      <c r="H96">
        <v>2</v>
      </c>
    </row>
    <row r="97" spans="1:8" x14ac:dyDescent="0.25">
      <c r="A97" s="1">
        <v>45331</v>
      </c>
      <c r="B97" t="s">
        <v>103</v>
      </c>
      <c r="C97" t="s">
        <v>3</v>
      </c>
      <c r="D97" t="s">
        <v>786</v>
      </c>
      <c r="E97" t="s">
        <v>781</v>
      </c>
      <c r="F97">
        <v>18682</v>
      </c>
      <c r="G97" s="2">
        <f t="shared" si="1"/>
        <v>2802.2999999999997</v>
      </c>
      <c r="H97">
        <v>3</v>
      </c>
    </row>
    <row r="98" spans="1:8" x14ac:dyDescent="0.25">
      <c r="A98" s="1">
        <v>45604</v>
      </c>
      <c r="B98" t="s">
        <v>104</v>
      </c>
      <c r="C98" t="s">
        <v>8</v>
      </c>
      <c r="D98" t="s">
        <v>788</v>
      </c>
      <c r="E98" t="s">
        <v>780</v>
      </c>
      <c r="F98">
        <v>3715</v>
      </c>
      <c r="G98" s="2">
        <f t="shared" si="1"/>
        <v>557.25</v>
      </c>
      <c r="H98">
        <v>5</v>
      </c>
    </row>
    <row r="99" spans="1:8" x14ac:dyDescent="0.25">
      <c r="A99" s="1">
        <v>45357</v>
      </c>
      <c r="B99" t="s">
        <v>105</v>
      </c>
      <c r="C99" t="s">
        <v>7</v>
      </c>
      <c r="D99" t="s">
        <v>788</v>
      </c>
      <c r="E99" t="s">
        <v>779</v>
      </c>
      <c r="F99">
        <v>36357</v>
      </c>
      <c r="G99" s="2">
        <f t="shared" si="1"/>
        <v>5453.55</v>
      </c>
      <c r="H99">
        <v>5</v>
      </c>
    </row>
    <row r="100" spans="1:8" x14ac:dyDescent="0.25">
      <c r="A100" s="1">
        <v>45540</v>
      </c>
      <c r="B100" t="s">
        <v>106</v>
      </c>
      <c r="C100" t="s">
        <v>6</v>
      </c>
      <c r="D100" t="s">
        <v>787</v>
      </c>
      <c r="E100" t="s">
        <v>780</v>
      </c>
      <c r="F100">
        <v>61193</v>
      </c>
      <c r="G100" s="2">
        <f t="shared" si="1"/>
        <v>9178.9499999999989</v>
      </c>
      <c r="H100">
        <v>1</v>
      </c>
    </row>
    <row r="101" spans="1:8" x14ac:dyDescent="0.25">
      <c r="A101" s="1">
        <v>45292</v>
      </c>
      <c r="B101" t="s">
        <v>9</v>
      </c>
      <c r="C101" t="s">
        <v>7</v>
      </c>
      <c r="D101" t="s">
        <v>788</v>
      </c>
      <c r="E101" t="s">
        <v>778</v>
      </c>
      <c r="F101">
        <v>34571</v>
      </c>
      <c r="G101" s="2">
        <f t="shared" si="1"/>
        <v>5185.6499999999996</v>
      </c>
      <c r="H101">
        <v>3</v>
      </c>
    </row>
    <row r="102" spans="1:8" x14ac:dyDescent="0.25">
      <c r="A102" s="1">
        <v>45649</v>
      </c>
      <c r="B102" t="s">
        <v>107</v>
      </c>
      <c r="C102" t="s">
        <v>8</v>
      </c>
      <c r="D102" t="s">
        <v>788</v>
      </c>
      <c r="E102" t="s">
        <v>780</v>
      </c>
      <c r="F102">
        <v>44839</v>
      </c>
      <c r="G102" s="2">
        <f t="shared" si="1"/>
        <v>6725.8499999999995</v>
      </c>
      <c r="H102">
        <v>5</v>
      </c>
    </row>
    <row r="103" spans="1:8" x14ac:dyDescent="0.25">
      <c r="A103" s="1">
        <v>45563</v>
      </c>
      <c r="B103" t="s">
        <v>108</v>
      </c>
      <c r="C103" t="s">
        <v>6</v>
      </c>
      <c r="D103" t="s">
        <v>787</v>
      </c>
      <c r="E103" t="s">
        <v>778</v>
      </c>
      <c r="F103">
        <v>36292</v>
      </c>
      <c r="G103" s="2">
        <f t="shared" si="1"/>
        <v>5443.8</v>
      </c>
      <c r="H103">
        <v>1</v>
      </c>
    </row>
    <row r="104" spans="1:8" x14ac:dyDescent="0.25">
      <c r="A104" s="1">
        <v>45618</v>
      </c>
      <c r="B104" t="s">
        <v>109</v>
      </c>
      <c r="C104" t="s">
        <v>4</v>
      </c>
      <c r="D104" t="s">
        <v>786</v>
      </c>
      <c r="E104" t="s">
        <v>778</v>
      </c>
      <c r="F104">
        <v>24612</v>
      </c>
      <c r="G104" s="2">
        <f t="shared" si="1"/>
        <v>3691.7999999999997</v>
      </c>
      <c r="H104">
        <v>4</v>
      </c>
    </row>
    <row r="105" spans="1:8" x14ac:dyDescent="0.25">
      <c r="A105" s="1">
        <v>45406</v>
      </c>
      <c r="B105" t="s">
        <v>110</v>
      </c>
      <c r="C105" t="s">
        <v>7</v>
      </c>
      <c r="D105" t="s">
        <v>788</v>
      </c>
      <c r="E105" t="s">
        <v>780</v>
      </c>
      <c r="F105">
        <v>45596</v>
      </c>
      <c r="G105" s="2">
        <f t="shared" si="1"/>
        <v>6839.4</v>
      </c>
      <c r="H105">
        <v>3</v>
      </c>
    </row>
    <row r="106" spans="1:8" x14ac:dyDescent="0.25">
      <c r="A106" s="1">
        <v>45532</v>
      </c>
      <c r="B106" t="s">
        <v>111</v>
      </c>
      <c r="C106" t="s">
        <v>7</v>
      </c>
      <c r="D106" t="s">
        <v>788</v>
      </c>
      <c r="E106" t="s">
        <v>781</v>
      </c>
      <c r="F106">
        <v>16790</v>
      </c>
      <c r="G106" s="2">
        <f t="shared" si="1"/>
        <v>2518.5</v>
      </c>
      <c r="H106">
        <v>5</v>
      </c>
    </row>
    <row r="107" spans="1:8" x14ac:dyDescent="0.25">
      <c r="A107" s="1">
        <v>45386</v>
      </c>
      <c r="B107" t="s">
        <v>112</v>
      </c>
      <c r="C107" t="s">
        <v>8</v>
      </c>
      <c r="D107" t="s">
        <v>788</v>
      </c>
      <c r="E107" t="s">
        <v>781</v>
      </c>
      <c r="F107">
        <v>68881</v>
      </c>
      <c r="G107" s="2">
        <f t="shared" si="1"/>
        <v>10332.15</v>
      </c>
      <c r="H107">
        <v>2</v>
      </c>
    </row>
    <row r="108" spans="1:8" x14ac:dyDescent="0.25">
      <c r="A108" s="1">
        <v>45638</v>
      </c>
      <c r="B108" t="s">
        <v>113</v>
      </c>
      <c r="C108" t="s">
        <v>8</v>
      </c>
      <c r="D108" t="s">
        <v>788</v>
      </c>
      <c r="E108" t="s">
        <v>779</v>
      </c>
      <c r="F108">
        <v>43907</v>
      </c>
      <c r="G108" s="2">
        <f t="shared" si="1"/>
        <v>6586.05</v>
      </c>
      <c r="H108">
        <v>1</v>
      </c>
    </row>
    <row r="109" spans="1:8" x14ac:dyDescent="0.25">
      <c r="A109" s="1">
        <v>45348</v>
      </c>
      <c r="B109" t="s">
        <v>114</v>
      </c>
      <c r="C109" t="s">
        <v>6</v>
      </c>
      <c r="D109" t="s">
        <v>787</v>
      </c>
      <c r="E109" t="s">
        <v>779</v>
      </c>
      <c r="F109">
        <v>33705</v>
      </c>
      <c r="G109" s="2">
        <f t="shared" si="1"/>
        <v>5055.75</v>
      </c>
      <c r="H109">
        <v>2</v>
      </c>
    </row>
    <row r="110" spans="1:8" x14ac:dyDescent="0.25">
      <c r="A110" s="1">
        <v>45511</v>
      </c>
      <c r="B110" t="s">
        <v>115</v>
      </c>
      <c r="C110" t="s">
        <v>5</v>
      </c>
      <c r="D110" t="s">
        <v>787</v>
      </c>
      <c r="E110" t="s">
        <v>779</v>
      </c>
      <c r="F110">
        <v>54387</v>
      </c>
      <c r="G110" s="2">
        <f t="shared" si="1"/>
        <v>8158.0499999999993</v>
      </c>
      <c r="H110">
        <v>2</v>
      </c>
    </row>
    <row r="111" spans="1:8" x14ac:dyDescent="0.25">
      <c r="A111" s="1">
        <v>45530</v>
      </c>
      <c r="B111" t="s">
        <v>116</v>
      </c>
      <c r="C111" t="s">
        <v>6</v>
      </c>
      <c r="D111" t="s">
        <v>787</v>
      </c>
      <c r="E111" t="s">
        <v>780</v>
      </c>
      <c r="F111">
        <v>2637</v>
      </c>
      <c r="G111" s="2">
        <f t="shared" si="1"/>
        <v>395.55</v>
      </c>
      <c r="H111">
        <v>2</v>
      </c>
    </row>
    <row r="112" spans="1:8" x14ac:dyDescent="0.25">
      <c r="A112" s="1">
        <v>45465</v>
      </c>
      <c r="B112" t="s">
        <v>117</v>
      </c>
      <c r="C112" t="s">
        <v>8</v>
      </c>
      <c r="D112" t="s">
        <v>788</v>
      </c>
      <c r="E112" t="s">
        <v>779</v>
      </c>
      <c r="F112">
        <v>73261</v>
      </c>
      <c r="G112" s="2">
        <f t="shared" si="1"/>
        <v>10989.15</v>
      </c>
      <c r="H112">
        <v>5</v>
      </c>
    </row>
    <row r="113" spans="1:8" x14ac:dyDescent="0.25">
      <c r="A113" s="1">
        <v>45539</v>
      </c>
      <c r="B113" t="s">
        <v>118</v>
      </c>
      <c r="C113" t="s">
        <v>8</v>
      </c>
      <c r="D113" t="s">
        <v>788</v>
      </c>
      <c r="E113" t="s">
        <v>779</v>
      </c>
      <c r="F113">
        <v>30333</v>
      </c>
      <c r="G113" s="2">
        <f t="shared" si="1"/>
        <v>4549.95</v>
      </c>
      <c r="H113">
        <v>2</v>
      </c>
    </row>
    <row r="114" spans="1:8" x14ac:dyDescent="0.25">
      <c r="A114" s="1">
        <v>45643</v>
      </c>
      <c r="B114" t="s">
        <v>119</v>
      </c>
      <c r="C114" t="s">
        <v>7</v>
      </c>
      <c r="D114" t="s">
        <v>788</v>
      </c>
      <c r="E114" t="s">
        <v>778</v>
      </c>
      <c r="F114">
        <v>23810</v>
      </c>
      <c r="G114" s="2">
        <f t="shared" si="1"/>
        <v>3571.5</v>
      </c>
      <c r="H114">
        <v>5</v>
      </c>
    </row>
    <row r="115" spans="1:8" x14ac:dyDescent="0.25">
      <c r="A115" s="1">
        <v>45511</v>
      </c>
      <c r="B115" t="s">
        <v>120</v>
      </c>
      <c r="C115" t="s">
        <v>6</v>
      </c>
      <c r="D115" t="s">
        <v>787</v>
      </c>
      <c r="E115" t="s">
        <v>779</v>
      </c>
      <c r="F115">
        <v>50981</v>
      </c>
      <c r="G115" s="2">
        <f t="shared" si="1"/>
        <v>7647.15</v>
      </c>
      <c r="H115">
        <v>4</v>
      </c>
    </row>
    <row r="116" spans="1:8" x14ac:dyDescent="0.25">
      <c r="A116" s="1">
        <v>45567</v>
      </c>
      <c r="B116" t="s">
        <v>121</v>
      </c>
      <c r="C116" t="s">
        <v>7</v>
      </c>
      <c r="D116" t="s">
        <v>788</v>
      </c>
      <c r="E116" t="s">
        <v>778</v>
      </c>
      <c r="F116">
        <v>8225</v>
      </c>
      <c r="G116" s="2">
        <f t="shared" si="1"/>
        <v>1233.75</v>
      </c>
      <c r="H116">
        <v>2</v>
      </c>
    </row>
    <row r="117" spans="1:8" x14ac:dyDescent="0.25">
      <c r="A117" s="1">
        <v>45632</v>
      </c>
      <c r="B117" t="s">
        <v>122</v>
      </c>
      <c r="C117" t="s">
        <v>6</v>
      </c>
      <c r="D117" t="s">
        <v>787</v>
      </c>
      <c r="E117" t="s">
        <v>778</v>
      </c>
      <c r="F117">
        <v>37115</v>
      </c>
      <c r="G117" s="2">
        <f t="shared" si="1"/>
        <v>5567.25</v>
      </c>
      <c r="H117">
        <v>1</v>
      </c>
    </row>
    <row r="118" spans="1:8" x14ac:dyDescent="0.25">
      <c r="A118" s="1">
        <v>45391</v>
      </c>
      <c r="B118" t="s">
        <v>123</v>
      </c>
      <c r="C118" t="s">
        <v>5</v>
      </c>
      <c r="D118" t="s">
        <v>787</v>
      </c>
      <c r="E118" t="s">
        <v>781</v>
      </c>
      <c r="F118">
        <v>33840</v>
      </c>
      <c r="G118" s="2">
        <f t="shared" si="1"/>
        <v>5076</v>
      </c>
      <c r="H118">
        <v>2</v>
      </c>
    </row>
    <row r="119" spans="1:8" x14ac:dyDescent="0.25">
      <c r="A119" s="1">
        <v>45362</v>
      </c>
      <c r="B119" t="s">
        <v>124</v>
      </c>
      <c r="C119" t="s">
        <v>8</v>
      </c>
      <c r="D119" t="s">
        <v>788</v>
      </c>
      <c r="E119" t="s">
        <v>779</v>
      </c>
      <c r="F119">
        <v>12361</v>
      </c>
      <c r="G119" s="2">
        <f t="shared" si="1"/>
        <v>1854.1499999999999</v>
      </c>
      <c r="H119">
        <v>5</v>
      </c>
    </row>
    <row r="120" spans="1:8" x14ac:dyDescent="0.25">
      <c r="A120" s="1">
        <v>45387</v>
      </c>
      <c r="B120" t="s">
        <v>125</v>
      </c>
      <c r="C120" t="s">
        <v>8</v>
      </c>
      <c r="D120" t="s">
        <v>788</v>
      </c>
      <c r="E120" t="s">
        <v>780</v>
      </c>
      <c r="F120">
        <v>53775</v>
      </c>
      <c r="G120" s="2">
        <f t="shared" si="1"/>
        <v>8066.25</v>
      </c>
      <c r="H120">
        <v>5</v>
      </c>
    </row>
    <row r="121" spans="1:8" x14ac:dyDescent="0.25">
      <c r="A121" s="1">
        <v>45399</v>
      </c>
      <c r="B121" t="s">
        <v>126</v>
      </c>
      <c r="C121" t="s">
        <v>7</v>
      </c>
      <c r="D121" t="s">
        <v>788</v>
      </c>
      <c r="E121" t="s">
        <v>780</v>
      </c>
      <c r="F121">
        <v>56484</v>
      </c>
      <c r="G121" s="2">
        <f t="shared" si="1"/>
        <v>8472.6</v>
      </c>
      <c r="H121">
        <v>2</v>
      </c>
    </row>
    <row r="122" spans="1:8" x14ac:dyDescent="0.25">
      <c r="A122" s="1">
        <v>45448</v>
      </c>
      <c r="B122" t="s">
        <v>127</v>
      </c>
      <c r="C122" t="s">
        <v>4</v>
      </c>
      <c r="D122" t="s">
        <v>786</v>
      </c>
      <c r="E122" t="s">
        <v>780</v>
      </c>
      <c r="F122">
        <v>8752</v>
      </c>
      <c r="G122" s="2">
        <f t="shared" si="1"/>
        <v>1312.8</v>
      </c>
      <c r="H122">
        <v>4</v>
      </c>
    </row>
    <row r="123" spans="1:8" x14ac:dyDescent="0.25">
      <c r="A123" s="1">
        <v>45630</v>
      </c>
      <c r="B123" t="s">
        <v>128</v>
      </c>
      <c r="C123" t="s">
        <v>3</v>
      </c>
      <c r="D123" t="s">
        <v>786</v>
      </c>
      <c r="E123" t="s">
        <v>781</v>
      </c>
      <c r="F123">
        <v>74700</v>
      </c>
      <c r="G123" s="2">
        <f t="shared" si="1"/>
        <v>11205</v>
      </c>
      <c r="H123">
        <v>2</v>
      </c>
    </row>
    <row r="124" spans="1:8" x14ac:dyDescent="0.25">
      <c r="A124" s="1">
        <v>45610</v>
      </c>
      <c r="B124" t="s">
        <v>129</v>
      </c>
      <c r="C124" t="s">
        <v>3</v>
      </c>
      <c r="D124" t="s">
        <v>786</v>
      </c>
      <c r="E124" t="s">
        <v>778</v>
      </c>
      <c r="F124">
        <v>77494</v>
      </c>
      <c r="G124" s="2">
        <f t="shared" si="1"/>
        <v>11624.1</v>
      </c>
      <c r="H124">
        <v>2</v>
      </c>
    </row>
    <row r="125" spans="1:8" x14ac:dyDescent="0.25">
      <c r="A125" s="1">
        <v>45584</v>
      </c>
      <c r="B125" t="s">
        <v>130</v>
      </c>
      <c r="C125" t="s">
        <v>8</v>
      </c>
      <c r="D125" t="s">
        <v>788</v>
      </c>
      <c r="E125" t="s">
        <v>780</v>
      </c>
      <c r="F125">
        <v>4494</v>
      </c>
      <c r="G125" s="2">
        <f t="shared" si="1"/>
        <v>674.1</v>
      </c>
      <c r="H125">
        <v>4</v>
      </c>
    </row>
    <row r="126" spans="1:8" x14ac:dyDescent="0.25">
      <c r="A126" s="1">
        <v>45629</v>
      </c>
      <c r="B126" t="s">
        <v>131</v>
      </c>
      <c r="C126" t="s">
        <v>4</v>
      </c>
      <c r="D126" t="s">
        <v>786</v>
      </c>
      <c r="E126" t="s">
        <v>779</v>
      </c>
      <c r="F126">
        <v>7986</v>
      </c>
      <c r="G126" s="2">
        <f t="shared" si="1"/>
        <v>1197.8999999999999</v>
      </c>
      <c r="H126">
        <v>3</v>
      </c>
    </row>
    <row r="127" spans="1:8" x14ac:dyDescent="0.25">
      <c r="A127" s="1">
        <v>45465</v>
      </c>
      <c r="B127" t="s">
        <v>132</v>
      </c>
      <c r="C127" t="s">
        <v>5</v>
      </c>
      <c r="D127" t="s">
        <v>787</v>
      </c>
      <c r="E127" t="s">
        <v>780</v>
      </c>
      <c r="F127">
        <v>28757</v>
      </c>
      <c r="G127" s="2">
        <f t="shared" si="1"/>
        <v>4313.55</v>
      </c>
      <c r="H127">
        <v>4</v>
      </c>
    </row>
    <row r="128" spans="1:8" x14ac:dyDescent="0.25">
      <c r="A128" s="1">
        <v>45488</v>
      </c>
      <c r="B128" t="s">
        <v>133</v>
      </c>
      <c r="C128" t="s">
        <v>6</v>
      </c>
      <c r="D128" t="s">
        <v>787</v>
      </c>
      <c r="E128" t="s">
        <v>780</v>
      </c>
      <c r="F128">
        <v>17913</v>
      </c>
      <c r="G128" s="2">
        <f t="shared" si="1"/>
        <v>2686.95</v>
      </c>
      <c r="H128">
        <v>3</v>
      </c>
    </row>
    <row r="129" spans="1:8" x14ac:dyDescent="0.25">
      <c r="A129" s="1">
        <v>45614</v>
      </c>
      <c r="B129" t="s">
        <v>134</v>
      </c>
      <c r="C129" t="s">
        <v>7</v>
      </c>
      <c r="D129" t="s">
        <v>788</v>
      </c>
      <c r="E129" t="s">
        <v>778</v>
      </c>
      <c r="F129">
        <v>45616</v>
      </c>
      <c r="G129" s="2">
        <f t="shared" si="1"/>
        <v>6842.4</v>
      </c>
      <c r="H129">
        <v>4</v>
      </c>
    </row>
    <row r="130" spans="1:8" x14ac:dyDescent="0.25">
      <c r="A130" s="1">
        <v>45530</v>
      </c>
      <c r="B130" t="s">
        <v>135</v>
      </c>
      <c r="C130" t="s">
        <v>7</v>
      </c>
      <c r="D130" t="s">
        <v>788</v>
      </c>
      <c r="E130" t="s">
        <v>779</v>
      </c>
      <c r="F130">
        <v>37502</v>
      </c>
      <c r="G130" s="2">
        <f t="shared" si="1"/>
        <v>5625.3</v>
      </c>
      <c r="H130">
        <v>2</v>
      </c>
    </row>
    <row r="131" spans="1:8" x14ac:dyDescent="0.25">
      <c r="A131" s="1">
        <v>45339</v>
      </c>
      <c r="B131" t="s">
        <v>136</v>
      </c>
      <c r="C131" t="s">
        <v>7</v>
      </c>
      <c r="D131" t="s">
        <v>788</v>
      </c>
      <c r="E131" t="s">
        <v>778</v>
      </c>
      <c r="F131">
        <v>39957</v>
      </c>
      <c r="G131" s="2">
        <f t="shared" ref="G131:G194" si="2">F131*0.15</f>
        <v>5993.55</v>
      </c>
      <c r="H131">
        <v>3</v>
      </c>
    </row>
    <row r="132" spans="1:8" x14ac:dyDescent="0.25">
      <c r="A132" s="1">
        <v>45427</v>
      </c>
      <c r="B132" t="s">
        <v>137</v>
      </c>
      <c r="C132" t="s">
        <v>7</v>
      </c>
      <c r="D132" t="s">
        <v>788</v>
      </c>
      <c r="E132" t="s">
        <v>778</v>
      </c>
      <c r="F132">
        <v>46351</v>
      </c>
      <c r="G132" s="2">
        <f t="shared" si="2"/>
        <v>6952.65</v>
      </c>
      <c r="H132">
        <v>3</v>
      </c>
    </row>
    <row r="133" spans="1:8" x14ac:dyDescent="0.25">
      <c r="A133" s="1">
        <v>45352</v>
      </c>
      <c r="B133" t="s">
        <v>138</v>
      </c>
      <c r="C133" t="s">
        <v>4</v>
      </c>
      <c r="D133" t="s">
        <v>786</v>
      </c>
      <c r="E133" t="s">
        <v>779</v>
      </c>
      <c r="F133">
        <v>16535</v>
      </c>
      <c r="G133" s="2">
        <f t="shared" si="2"/>
        <v>2480.25</v>
      </c>
      <c r="H133">
        <v>3</v>
      </c>
    </row>
    <row r="134" spans="1:8" x14ac:dyDescent="0.25">
      <c r="A134" s="1">
        <v>45343</v>
      </c>
      <c r="B134" t="s">
        <v>139</v>
      </c>
      <c r="C134" t="s">
        <v>8</v>
      </c>
      <c r="D134" t="s">
        <v>788</v>
      </c>
      <c r="E134" t="s">
        <v>779</v>
      </c>
      <c r="F134">
        <v>31800</v>
      </c>
      <c r="G134" s="2">
        <f t="shared" si="2"/>
        <v>4770</v>
      </c>
      <c r="H134">
        <v>3</v>
      </c>
    </row>
    <row r="135" spans="1:8" x14ac:dyDescent="0.25">
      <c r="A135" s="1">
        <v>45559</v>
      </c>
      <c r="B135" t="s">
        <v>140</v>
      </c>
      <c r="C135" t="s">
        <v>5</v>
      </c>
      <c r="D135" t="s">
        <v>787</v>
      </c>
      <c r="E135" t="s">
        <v>778</v>
      </c>
      <c r="F135">
        <v>61320</v>
      </c>
      <c r="G135" s="2">
        <f t="shared" si="2"/>
        <v>9198</v>
      </c>
      <c r="H135">
        <v>4</v>
      </c>
    </row>
    <row r="136" spans="1:8" x14ac:dyDescent="0.25">
      <c r="A136" s="1">
        <v>45366</v>
      </c>
      <c r="B136" t="s">
        <v>141</v>
      </c>
      <c r="C136" t="s">
        <v>5</v>
      </c>
      <c r="D136" t="s">
        <v>787</v>
      </c>
      <c r="E136" t="s">
        <v>778</v>
      </c>
      <c r="F136">
        <v>53758</v>
      </c>
      <c r="G136" s="2">
        <f t="shared" si="2"/>
        <v>8063.7</v>
      </c>
      <c r="H136">
        <v>5</v>
      </c>
    </row>
    <row r="137" spans="1:8" x14ac:dyDescent="0.25">
      <c r="A137" s="1">
        <v>45332</v>
      </c>
      <c r="B137" t="s">
        <v>142</v>
      </c>
      <c r="C137" t="s">
        <v>5</v>
      </c>
      <c r="D137" t="s">
        <v>787</v>
      </c>
      <c r="E137" t="s">
        <v>778</v>
      </c>
      <c r="F137">
        <v>21027</v>
      </c>
      <c r="G137" s="2">
        <f t="shared" si="2"/>
        <v>3154.0499999999997</v>
      </c>
      <c r="H137">
        <v>1</v>
      </c>
    </row>
    <row r="138" spans="1:8" x14ac:dyDescent="0.25">
      <c r="A138" s="1">
        <v>45383</v>
      </c>
      <c r="B138" t="s">
        <v>143</v>
      </c>
      <c r="C138" t="s">
        <v>5</v>
      </c>
      <c r="D138" t="s">
        <v>787</v>
      </c>
      <c r="E138" t="s">
        <v>779</v>
      </c>
      <c r="F138">
        <v>54858</v>
      </c>
      <c r="G138" s="2">
        <f t="shared" si="2"/>
        <v>8228.6999999999989</v>
      </c>
      <c r="H138">
        <v>4</v>
      </c>
    </row>
    <row r="139" spans="1:8" x14ac:dyDescent="0.25">
      <c r="A139" s="1">
        <v>45580</v>
      </c>
      <c r="B139" t="s">
        <v>144</v>
      </c>
      <c r="C139" t="s">
        <v>7</v>
      </c>
      <c r="D139" t="s">
        <v>788</v>
      </c>
      <c r="E139" t="s">
        <v>780</v>
      </c>
      <c r="F139">
        <v>72585</v>
      </c>
      <c r="G139" s="2">
        <f t="shared" si="2"/>
        <v>10887.75</v>
      </c>
      <c r="H139">
        <v>4</v>
      </c>
    </row>
    <row r="140" spans="1:8" x14ac:dyDescent="0.25">
      <c r="A140" s="1">
        <v>45384</v>
      </c>
      <c r="B140" t="s">
        <v>145</v>
      </c>
      <c r="C140" t="s">
        <v>3</v>
      </c>
      <c r="D140" t="s">
        <v>786</v>
      </c>
      <c r="E140" t="s">
        <v>780</v>
      </c>
      <c r="F140">
        <v>18626</v>
      </c>
      <c r="G140" s="2">
        <f t="shared" si="2"/>
        <v>2793.9</v>
      </c>
      <c r="H140">
        <v>2</v>
      </c>
    </row>
    <row r="141" spans="1:8" x14ac:dyDescent="0.25">
      <c r="A141" s="1">
        <v>45516</v>
      </c>
      <c r="B141" t="s">
        <v>146</v>
      </c>
      <c r="C141" t="s">
        <v>6</v>
      </c>
      <c r="D141" t="s">
        <v>787</v>
      </c>
      <c r="E141" t="s">
        <v>780</v>
      </c>
      <c r="F141">
        <v>36909</v>
      </c>
      <c r="G141" s="2">
        <f t="shared" si="2"/>
        <v>5536.3499999999995</v>
      </c>
      <c r="H141">
        <v>4</v>
      </c>
    </row>
    <row r="142" spans="1:8" x14ac:dyDescent="0.25">
      <c r="A142" s="1">
        <v>45293</v>
      </c>
      <c r="B142" t="s">
        <v>147</v>
      </c>
      <c r="C142" t="s">
        <v>5</v>
      </c>
      <c r="D142" t="s">
        <v>787</v>
      </c>
      <c r="E142" t="s">
        <v>780</v>
      </c>
      <c r="F142">
        <v>53932</v>
      </c>
      <c r="G142" s="2">
        <f t="shared" si="2"/>
        <v>8089.7999999999993</v>
      </c>
      <c r="H142">
        <v>3</v>
      </c>
    </row>
    <row r="143" spans="1:8" x14ac:dyDescent="0.25">
      <c r="A143" s="1">
        <v>45585</v>
      </c>
      <c r="B143" t="s">
        <v>148</v>
      </c>
      <c r="C143" t="s">
        <v>7</v>
      </c>
      <c r="D143" t="s">
        <v>788</v>
      </c>
      <c r="E143" t="s">
        <v>780</v>
      </c>
      <c r="F143">
        <v>75702</v>
      </c>
      <c r="G143" s="2">
        <f t="shared" si="2"/>
        <v>11355.3</v>
      </c>
      <c r="H143">
        <v>1</v>
      </c>
    </row>
    <row r="144" spans="1:8" x14ac:dyDescent="0.25">
      <c r="A144" s="1">
        <v>45404</v>
      </c>
      <c r="B144" t="s">
        <v>149</v>
      </c>
      <c r="C144" t="s">
        <v>8</v>
      </c>
      <c r="D144" t="s">
        <v>788</v>
      </c>
      <c r="E144" t="s">
        <v>781</v>
      </c>
      <c r="F144">
        <v>21820</v>
      </c>
      <c r="G144" s="2">
        <f t="shared" si="2"/>
        <v>3273</v>
      </c>
      <c r="H144">
        <v>2</v>
      </c>
    </row>
    <row r="145" spans="1:8" x14ac:dyDescent="0.25">
      <c r="A145" s="1">
        <v>45315</v>
      </c>
      <c r="B145" t="s">
        <v>150</v>
      </c>
      <c r="C145" t="s">
        <v>5</v>
      </c>
      <c r="D145" t="s">
        <v>787</v>
      </c>
      <c r="E145" t="s">
        <v>778</v>
      </c>
      <c r="F145">
        <v>2905</v>
      </c>
      <c r="G145" s="2">
        <f t="shared" si="2"/>
        <v>435.75</v>
      </c>
      <c r="H145">
        <v>4</v>
      </c>
    </row>
    <row r="146" spans="1:8" x14ac:dyDescent="0.25">
      <c r="A146" s="1">
        <v>45427</v>
      </c>
      <c r="B146" t="s">
        <v>151</v>
      </c>
      <c r="C146" t="s">
        <v>8</v>
      </c>
      <c r="D146" t="s">
        <v>788</v>
      </c>
      <c r="E146" t="s">
        <v>778</v>
      </c>
      <c r="F146">
        <v>1320</v>
      </c>
      <c r="G146" s="2">
        <f t="shared" si="2"/>
        <v>198</v>
      </c>
      <c r="H146">
        <v>2</v>
      </c>
    </row>
    <row r="147" spans="1:8" x14ac:dyDescent="0.25">
      <c r="A147" s="1">
        <v>45589</v>
      </c>
      <c r="B147" t="s">
        <v>152</v>
      </c>
      <c r="C147" t="s">
        <v>3</v>
      </c>
      <c r="D147" t="s">
        <v>786</v>
      </c>
      <c r="E147" t="s">
        <v>778</v>
      </c>
      <c r="F147">
        <v>56613</v>
      </c>
      <c r="G147" s="2">
        <f t="shared" si="2"/>
        <v>8491.9499999999989</v>
      </c>
      <c r="H147">
        <v>3</v>
      </c>
    </row>
    <row r="148" spans="1:8" x14ac:dyDescent="0.25">
      <c r="A148" s="1">
        <v>45575</v>
      </c>
      <c r="B148" t="s">
        <v>153</v>
      </c>
      <c r="C148" t="s">
        <v>5</v>
      </c>
      <c r="D148" t="s">
        <v>787</v>
      </c>
      <c r="E148" t="s">
        <v>780</v>
      </c>
      <c r="F148">
        <v>49932</v>
      </c>
      <c r="G148" s="2">
        <f t="shared" si="2"/>
        <v>7489.7999999999993</v>
      </c>
      <c r="H148">
        <v>1</v>
      </c>
    </row>
    <row r="149" spans="1:8" x14ac:dyDescent="0.25">
      <c r="A149" s="1">
        <v>45615</v>
      </c>
      <c r="B149" t="s">
        <v>154</v>
      </c>
      <c r="C149" t="s">
        <v>7</v>
      </c>
      <c r="D149" t="s">
        <v>788</v>
      </c>
      <c r="E149" t="s">
        <v>779</v>
      </c>
      <c r="F149">
        <v>56894</v>
      </c>
      <c r="G149" s="2">
        <f t="shared" si="2"/>
        <v>8534.1</v>
      </c>
      <c r="H149">
        <v>3</v>
      </c>
    </row>
    <row r="150" spans="1:8" x14ac:dyDescent="0.25">
      <c r="A150" s="1">
        <v>45507</v>
      </c>
      <c r="B150" t="s">
        <v>155</v>
      </c>
      <c r="C150" t="s">
        <v>4</v>
      </c>
      <c r="D150" t="s">
        <v>786</v>
      </c>
      <c r="E150" t="s">
        <v>779</v>
      </c>
      <c r="F150">
        <v>69327</v>
      </c>
      <c r="G150" s="2">
        <f t="shared" si="2"/>
        <v>10399.049999999999</v>
      </c>
      <c r="H150">
        <v>4</v>
      </c>
    </row>
    <row r="151" spans="1:8" x14ac:dyDescent="0.25">
      <c r="A151" s="1">
        <v>45639</v>
      </c>
      <c r="B151" t="s">
        <v>156</v>
      </c>
      <c r="C151" t="s">
        <v>8</v>
      </c>
      <c r="D151" t="s">
        <v>788</v>
      </c>
      <c r="E151" t="s">
        <v>779</v>
      </c>
      <c r="F151">
        <v>44432</v>
      </c>
      <c r="G151" s="2">
        <f t="shared" si="2"/>
        <v>6664.8</v>
      </c>
      <c r="H151">
        <v>3</v>
      </c>
    </row>
    <row r="152" spans="1:8" x14ac:dyDescent="0.25">
      <c r="A152" s="1">
        <v>45644</v>
      </c>
      <c r="B152" t="s">
        <v>157</v>
      </c>
      <c r="C152" t="s">
        <v>4</v>
      </c>
      <c r="D152" t="s">
        <v>786</v>
      </c>
      <c r="E152" t="s">
        <v>779</v>
      </c>
      <c r="F152">
        <v>7731</v>
      </c>
      <c r="G152" s="2">
        <f t="shared" si="2"/>
        <v>1159.6499999999999</v>
      </c>
      <c r="H152">
        <v>4</v>
      </c>
    </row>
    <row r="153" spans="1:8" x14ac:dyDescent="0.25">
      <c r="A153" s="1">
        <v>45546</v>
      </c>
      <c r="B153" t="s">
        <v>158</v>
      </c>
      <c r="C153" t="s">
        <v>4</v>
      </c>
      <c r="D153" t="s">
        <v>786</v>
      </c>
      <c r="E153" t="s">
        <v>780</v>
      </c>
      <c r="F153">
        <v>13704</v>
      </c>
      <c r="G153" s="2">
        <f t="shared" si="2"/>
        <v>2055.6</v>
      </c>
      <c r="H153">
        <v>4</v>
      </c>
    </row>
    <row r="154" spans="1:8" x14ac:dyDescent="0.25">
      <c r="A154" s="1">
        <v>45623</v>
      </c>
      <c r="B154" t="s">
        <v>159</v>
      </c>
      <c r="C154" t="s">
        <v>5</v>
      </c>
      <c r="D154" t="s">
        <v>787</v>
      </c>
      <c r="E154" t="s">
        <v>779</v>
      </c>
      <c r="F154">
        <v>59471</v>
      </c>
      <c r="G154" s="2">
        <f t="shared" si="2"/>
        <v>8920.65</v>
      </c>
      <c r="H154">
        <v>1</v>
      </c>
    </row>
    <row r="155" spans="1:8" x14ac:dyDescent="0.25">
      <c r="A155" s="1">
        <v>45435</v>
      </c>
      <c r="B155" t="s">
        <v>160</v>
      </c>
      <c r="C155" t="s">
        <v>5</v>
      </c>
      <c r="D155" t="s">
        <v>787</v>
      </c>
      <c r="E155" t="s">
        <v>780</v>
      </c>
      <c r="F155">
        <v>56480</v>
      </c>
      <c r="G155" s="2">
        <f t="shared" si="2"/>
        <v>8472</v>
      </c>
      <c r="H155">
        <v>1</v>
      </c>
    </row>
    <row r="156" spans="1:8" x14ac:dyDescent="0.25">
      <c r="A156" s="1">
        <v>45383</v>
      </c>
      <c r="B156" t="s">
        <v>161</v>
      </c>
      <c r="C156" t="s">
        <v>8</v>
      </c>
      <c r="D156" t="s">
        <v>788</v>
      </c>
      <c r="E156" t="s">
        <v>778</v>
      </c>
      <c r="F156">
        <v>10393</v>
      </c>
      <c r="G156" s="2">
        <f t="shared" si="2"/>
        <v>1558.95</v>
      </c>
      <c r="H156">
        <v>2</v>
      </c>
    </row>
    <row r="157" spans="1:8" x14ac:dyDescent="0.25">
      <c r="A157" s="1">
        <v>45521</v>
      </c>
      <c r="B157" t="s">
        <v>162</v>
      </c>
      <c r="C157" t="s">
        <v>7</v>
      </c>
      <c r="D157" t="s">
        <v>788</v>
      </c>
      <c r="E157" t="s">
        <v>779</v>
      </c>
      <c r="F157">
        <v>48005</v>
      </c>
      <c r="G157" s="2">
        <f t="shared" si="2"/>
        <v>7200.75</v>
      </c>
      <c r="H157">
        <v>1</v>
      </c>
    </row>
    <row r="158" spans="1:8" x14ac:dyDescent="0.25">
      <c r="A158" s="1">
        <v>45337</v>
      </c>
      <c r="B158" t="s">
        <v>163</v>
      </c>
      <c r="C158" t="s">
        <v>8</v>
      </c>
      <c r="D158" t="s">
        <v>788</v>
      </c>
      <c r="E158" t="s">
        <v>780</v>
      </c>
      <c r="F158">
        <v>2984</v>
      </c>
      <c r="G158" s="2">
        <f t="shared" si="2"/>
        <v>447.59999999999997</v>
      </c>
      <c r="H158">
        <v>3</v>
      </c>
    </row>
    <row r="159" spans="1:8" x14ac:dyDescent="0.25">
      <c r="A159" s="1">
        <v>45651</v>
      </c>
      <c r="B159" t="s">
        <v>164</v>
      </c>
      <c r="C159" t="s">
        <v>4</v>
      </c>
      <c r="D159" t="s">
        <v>786</v>
      </c>
      <c r="E159" t="s">
        <v>780</v>
      </c>
      <c r="F159">
        <v>76635</v>
      </c>
      <c r="G159" s="2">
        <f t="shared" si="2"/>
        <v>11495.25</v>
      </c>
      <c r="H159">
        <v>5</v>
      </c>
    </row>
    <row r="160" spans="1:8" x14ac:dyDescent="0.25">
      <c r="A160" s="1">
        <v>45315</v>
      </c>
      <c r="B160" t="s">
        <v>165</v>
      </c>
      <c r="C160" t="s">
        <v>5</v>
      </c>
      <c r="D160" t="s">
        <v>787</v>
      </c>
      <c r="E160" t="s">
        <v>781</v>
      </c>
      <c r="F160">
        <v>17854</v>
      </c>
      <c r="G160" s="2">
        <f t="shared" si="2"/>
        <v>2678.1</v>
      </c>
      <c r="H160">
        <v>3</v>
      </c>
    </row>
    <row r="161" spans="1:8" x14ac:dyDescent="0.25">
      <c r="A161" s="1">
        <v>45346</v>
      </c>
      <c r="B161" t="s">
        <v>166</v>
      </c>
      <c r="C161" t="s">
        <v>6</v>
      </c>
      <c r="D161" t="s">
        <v>787</v>
      </c>
      <c r="E161" t="s">
        <v>779</v>
      </c>
      <c r="F161">
        <v>69006</v>
      </c>
      <c r="G161" s="2">
        <f t="shared" si="2"/>
        <v>10350.9</v>
      </c>
      <c r="H161">
        <v>1</v>
      </c>
    </row>
    <row r="162" spans="1:8" x14ac:dyDescent="0.25">
      <c r="A162" s="1">
        <v>45620</v>
      </c>
      <c r="B162" t="s">
        <v>167</v>
      </c>
      <c r="C162" t="s">
        <v>4</v>
      </c>
      <c r="D162" t="s">
        <v>786</v>
      </c>
      <c r="E162" t="s">
        <v>780</v>
      </c>
      <c r="F162">
        <v>32540</v>
      </c>
      <c r="G162" s="2">
        <f t="shared" si="2"/>
        <v>4881</v>
      </c>
      <c r="H162">
        <v>1</v>
      </c>
    </row>
    <row r="163" spans="1:8" x14ac:dyDescent="0.25">
      <c r="A163" s="1">
        <v>45508</v>
      </c>
      <c r="B163" t="s">
        <v>168</v>
      </c>
      <c r="C163" t="s">
        <v>3</v>
      </c>
      <c r="D163" t="s">
        <v>786</v>
      </c>
      <c r="E163" t="s">
        <v>779</v>
      </c>
      <c r="F163">
        <v>61034</v>
      </c>
      <c r="G163" s="2">
        <f t="shared" si="2"/>
        <v>9155.1</v>
      </c>
      <c r="H163">
        <v>3</v>
      </c>
    </row>
    <row r="164" spans="1:8" x14ac:dyDescent="0.25">
      <c r="A164" s="1">
        <v>45600</v>
      </c>
      <c r="B164" t="s">
        <v>169</v>
      </c>
      <c r="C164" t="s">
        <v>8</v>
      </c>
      <c r="D164" t="s">
        <v>788</v>
      </c>
      <c r="E164" t="s">
        <v>781</v>
      </c>
      <c r="F164">
        <v>18873</v>
      </c>
      <c r="G164" s="2">
        <f t="shared" si="2"/>
        <v>2830.95</v>
      </c>
      <c r="H164">
        <v>3</v>
      </c>
    </row>
    <row r="165" spans="1:8" x14ac:dyDescent="0.25">
      <c r="A165" s="1">
        <v>45402</v>
      </c>
      <c r="B165" t="s">
        <v>170</v>
      </c>
      <c r="C165" t="s">
        <v>8</v>
      </c>
      <c r="D165" t="s">
        <v>788</v>
      </c>
      <c r="E165" t="s">
        <v>781</v>
      </c>
      <c r="F165">
        <v>6904</v>
      </c>
      <c r="G165" s="2">
        <f t="shared" si="2"/>
        <v>1035.5999999999999</v>
      </c>
      <c r="H165">
        <v>1</v>
      </c>
    </row>
    <row r="166" spans="1:8" x14ac:dyDescent="0.25">
      <c r="A166" s="1">
        <v>45651</v>
      </c>
      <c r="B166" t="s">
        <v>171</v>
      </c>
      <c r="C166" t="s">
        <v>6</v>
      </c>
      <c r="D166" t="s">
        <v>787</v>
      </c>
      <c r="E166" t="s">
        <v>778</v>
      </c>
      <c r="F166">
        <v>9013</v>
      </c>
      <c r="G166" s="2">
        <f t="shared" si="2"/>
        <v>1351.95</v>
      </c>
      <c r="H166">
        <v>2</v>
      </c>
    </row>
    <row r="167" spans="1:8" x14ac:dyDescent="0.25">
      <c r="A167" s="1">
        <v>45545</v>
      </c>
      <c r="B167" t="s">
        <v>172</v>
      </c>
      <c r="C167" t="s">
        <v>3</v>
      </c>
      <c r="D167" t="s">
        <v>786</v>
      </c>
      <c r="E167" t="s">
        <v>780</v>
      </c>
      <c r="F167">
        <v>75279</v>
      </c>
      <c r="G167" s="2">
        <f t="shared" si="2"/>
        <v>11291.85</v>
      </c>
      <c r="H167">
        <v>3</v>
      </c>
    </row>
    <row r="168" spans="1:8" x14ac:dyDescent="0.25">
      <c r="A168" s="1">
        <v>45561</v>
      </c>
      <c r="B168" t="s">
        <v>173</v>
      </c>
      <c r="C168" t="s">
        <v>8</v>
      </c>
      <c r="D168" t="s">
        <v>788</v>
      </c>
      <c r="E168" t="s">
        <v>781</v>
      </c>
      <c r="F168">
        <v>24812</v>
      </c>
      <c r="G168" s="2">
        <f t="shared" si="2"/>
        <v>3721.7999999999997</v>
      </c>
      <c r="H168">
        <v>3</v>
      </c>
    </row>
    <row r="169" spans="1:8" x14ac:dyDescent="0.25">
      <c r="A169" s="1">
        <v>45325</v>
      </c>
      <c r="B169" t="s">
        <v>174</v>
      </c>
      <c r="C169" t="s">
        <v>3</v>
      </c>
      <c r="D169" t="s">
        <v>786</v>
      </c>
      <c r="E169" t="s">
        <v>781</v>
      </c>
      <c r="F169">
        <v>8446</v>
      </c>
      <c r="G169" s="2">
        <f t="shared" si="2"/>
        <v>1266.8999999999999</v>
      </c>
      <c r="H169">
        <v>3</v>
      </c>
    </row>
    <row r="170" spans="1:8" x14ac:dyDescent="0.25">
      <c r="A170" s="1">
        <v>45615</v>
      </c>
      <c r="B170" t="s">
        <v>175</v>
      </c>
      <c r="C170" t="s">
        <v>4</v>
      </c>
      <c r="D170" t="s">
        <v>786</v>
      </c>
      <c r="E170" t="s">
        <v>781</v>
      </c>
      <c r="F170">
        <v>74415</v>
      </c>
      <c r="G170" s="2">
        <f t="shared" si="2"/>
        <v>11162.25</v>
      </c>
      <c r="H170">
        <v>1</v>
      </c>
    </row>
    <row r="171" spans="1:8" x14ac:dyDescent="0.25">
      <c r="A171" s="1">
        <v>45647</v>
      </c>
      <c r="B171" t="s">
        <v>176</v>
      </c>
      <c r="C171" t="s">
        <v>7</v>
      </c>
      <c r="D171" t="s">
        <v>788</v>
      </c>
      <c r="E171" t="s">
        <v>781</v>
      </c>
      <c r="F171">
        <v>25049</v>
      </c>
      <c r="G171" s="2">
        <f t="shared" si="2"/>
        <v>3757.35</v>
      </c>
      <c r="H171">
        <v>5</v>
      </c>
    </row>
    <row r="172" spans="1:8" x14ac:dyDescent="0.25">
      <c r="A172" s="1">
        <v>45492</v>
      </c>
      <c r="B172" t="s">
        <v>177</v>
      </c>
      <c r="C172" t="s">
        <v>3</v>
      </c>
      <c r="D172" t="s">
        <v>786</v>
      </c>
      <c r="E172" t="s">
        <v>780</v>
      </c>
      <c r="F172">
        <v>58287</v>
      </c>
      <c r="G172" s="2">
        <f t="shared" si="2"/>
        <v>8743.0499999999993</v>
      </c>
      <c r="H172">
        <v>2</v>
      </c>
    </row>
    <row r="173" spans="1:8" x14ac:dyDescent="0.25">
      <c r="A173" s="1">
        <v>45294</v>
      </c>
      <c r="B173" t="s">
        <v>178</v>
      </c>
      <c r="C173" t="s">
        <v>4</v>
      </c>
      <c r="D173" t="s">
        <v>786</v>
      </c>
      <c r="E173" t="s">
        <v>781</v>
      </c>
      <c r="F173">
        <v>31653</v>
      </c>
      <c r="G173" s="2">
        <f t="shared" si="2"/>
        <v>4747.95</v>
      </c>
      <c r="H173">
        <v>4</v>
      </c>
    </row>
    <row r="174" spans="1:8" x14ac:dyDescent="0.25">
      <c r="A174" s="1">
        <v>45325</v>
      </c>
      <c r="B174" t="s">
        <v>179</v>
      </c>
      <c r="C174" t="s">
        <v>3</v>
      </c>
      <c r="D174" t="s">
        <v>786</v>
      </c>
      <c r="E174" t="s">
        <v>779</v>
      </c>
      <c r="F174">
        <v>68709</v>
      </c>
      <c r="G174" s="2">
        <f t="shared" si="2"/>
        <v>10306.35</v>
      </c>
      <c r="H174">
        <v>3</v>
      </c>
    </row>
    <row r="175" spans="1:8" x14ac:dyDescent="0.25">
      <c r="A175" s="1">
        <v>45516</v>
      </c>
      <c r="B175" t="s">
        <v>180</v>
      </c>
      <c r="C175" t="s">
        <v>6</v>
      </c>
      <c r="D175" t="s">
        <v>787</v>
      </c>
      <c r="E175" t="s">
        <v>780</v>
      </c>
      <c r="F175">
        <v>63078</v>
      </c>
      <c r="G175" s="2">
        <f t="shared" si="2"/>
        <v>9461.6999999999989</v>
      </c>
      <c r="H175">
        <v>2</v>
      </c>
    </row>
    <row r="176" spans="1:8" x14ac:dyDescent="0.25">
      <c r="A176" s="1">
        <v>45338</v>
      </c>
      <c r="B176" t="s">
        <v>181</v>
      </c>
      <c r="C176" t="s">
        <v>8</v>
      </c>
      <c r="D176" t="s">
        <v>788</v>
      </c>
      <c r="E176" t="s">
        <v>780</v>
      </c>
      <c r="F176">
        <v>54538</v>
      </c>
      <c r="G176" s="2">
        <f t="shared" si="2"/>
        <v>8180.7</v>
      </c>
      <c r="H176">
        <v>2</v>
      </c>
    </row>
    <row r="177" spans="1:8" x14ac:dyDescent="0.25">
      <c r="A177" s="1">
        <v>45630</v>
      </c>
      <c r="B177" t="s">
        <v>182</v>
      </c>
      <c r="C177" t="s">
        <v>7</v>
      </c>
      <c r="D177" t="s">
        <v>788</v>
      </c>
      <c r="E177" t="s">
        <v>779</v>
      </c>
      <c r="F177">
        <v>71222</v>
      </c>
      <c r="G177" s="2">
        <f t="shared" si="2"/>
        <v>10683.3</v>
      </c>
      <c r="H177">
        <v>3</v>
      </c>
    </row>
    <row r="178" spans="1:8" x14ac:dyDescent="0.25">
      <c r="A178" s="1">
        <v>45292</v>
      </c>
      <c r="B178" t="s">
        <v>183</v>
      </c>
      <c r="C178" t="s">
        <v>3</v>
      </c>
      <c r="D178" t="s">
        <v>786</v>
      </c>
      <c r="E178" t="s">
        <v>780</v>
      </c>
      <c r="F178">
        <v>15910</v>
      </c>
      <c r="G178" s="2">
        <f t="shared" si="2"/>
        <v>2386.5</v>
      </c>
      <c r="H178">
        <v>1</v>
      </c>
    </row>
    <row r="179" spans="1:8" x14ac:dyDescent="0.25">
      <c r="A179" s="1">
        <v>45360</v>
      </c>
      <c r="B179" t="s">
        <v>184</v>
      </c>
      <c r="C179" t="s">
        <v>6</v>
      </c>
      <c r="D179" t="s">
        <v>787</v>
      </c>
      <c r="E179" t="s">
        <v>779</v>
      </c>
      <c r="F179">
        <v>79708</v>
      </c>
      <c r="G179" s="2">
        <f t="shared" si="2"/>
        <v>11956.199999999999</v>
      </c>
      <c r="H179">
        <v>2</v>
      </c>
    </row>
    <row r="180" spans="1:8" x14ac:dyDescent="0.25">
      <c r="A180" s="1">
        <v>45512</v>
      </c>
      <c r="B180" t="s">
        <v>185</v>
      </c>
      <c r="C180" t="s">
        <v>3</v>
      </c>
      <c r="D180" t="s">
        <v>786</v>
      </c>
      <c r="E180" t="s">
        <v>779</v>
      </c>
      <c r="F180">
        <v>25070</v>
      </c>
      <c r="G180" s="2">
        <f t="shared" si="2"/>
        <v>3760.5</v>
      </c>
      <c r="H180">
        <v>4</v>
      </c>
    </row>
    <row r="181" spans="1:8" x14ac:dyDescent="0.25">
      <c r="A181" s="1">
        <v>45335</v>
      </c>
      <c r="B181" t="s">
        <v>186</v>
      </c>
      <c r="C181" t="s">
        <v>3</v>
      </c>
      <c r="D181" t="s">
        <v>786</v>
      </c>
      <c r="E181" t="s">
        <v>779</v>
      </c>
      <c r="F181">
        <v>26560</v>
      </c>
      <c r="G181" s="2">
        <f t="shared" si="2"/>
        <v>3984</v>
      </c>
      <c r="H181">
        <v>1</v>
      </c>
    </row>
    <row r="182" spans="1:8" x14ac:dyDescent="0.25">
      <c r="A182" s="1">
        <v>45360</v>
      </c>
      <c r="B182" t="s">
        <v>187</v>
      </c>
      <c r="C182" t="s">
        <v>6</v>
      </c>
      <c r="D182" t="s">
        <v>787</v>
      </c>
      <c r="E182" t="s">
        <v>780</v>
      </c>
      <c r="F182">
        <v>67416</v>
      </c>
      <c r="G182" s="2">
        <f t="shared" si="2"/>
        <v>10112.4</v>
      </c>
      <c r="H182">
        <v>2</v>
      </c>
    </row>
    <row r="183" spans="1:8" x14ac:dyDescent="0.25">
      <c r="A183" s="1">
        <v>45628</v>
      </c>
      <c r="B183" t="s">
        <v>188</v>
      </c>
      <c r="C183" t="s">
        <v>6</v>
      </c>
      <c r="D183" t="s">
        <v>787</v>
      </c>
      <c r="E183" t="s">
        <v>778</v>
      </c>
      <c r="F183">
        <v>63533</v>
      </c>
      <c r="G183" s="2">
        <f t="shared" si="2"/>
        <v>9529.9499999999989</v>
      </c>
      <c r="H183">
        <v>1</v>
      </c>
    </row>
    <row r="184" spans="1:8" x14ac:dyDescent="0.25">
      <c r="A184" s="1">
        <v>45559</v>
      </c>
      <c r="B184" t="s">
        <v>189</v>
      </c>
      <c r="C184" t="s">
        <v>7</v>
      </c>
      <c r="D184" t="s">
        <v>788</v>
      </c>
      <c r="E184" t="s">
        <v>778</v>
      </c>
      <c r="F184">
        <v>59055</v>
      </c>
      <c r="G184" s="2">
        <f t="shared" si="2"/>
        <v>8858.25</v>
      </c>
      <c r="H184">
        <v>4</v>
      </c>
    </row>
    <row r="185" spans="1:8" x14ac:dyDescent="0.25">
      <c r="A185" s="1">
        <v>45366</v>
      </c>
      <c r="B185" t="s">
        <v>190</v>
      </c>
      <c r="C185" t="s">
        <v>6</v>
      </c>
      <c r="D185" t="s">
        <v>787</v>
      </c>
      <c r="E185" t="s">
        <v>778</v>
      </c>
      <c r="F185">
        <v>12083</v>
      </c>
      <c r="G185" s="2">
        <f t="shared" si="2"/>
        <v>1812.45</v>
      </c>
      <c r="H185">
        <v>5</v>
      </c>
    </row>
    <row r="186" spans="1:8" x14ac:dyDescent="0.25">
      <c r="A186" s="1">
        <v>45552</v>
      </c>
      <c r="B186" t="s">
        <v>191</v>
      </c>
      <c r="C186" t="s">
        <v>5</v>
      </c>
      <c r="D186" t="s">
        <v>787</v>
      </c>
      <c r="E186" t="s">
        <v>781</v>
      </c>
      <c r="F186">
        <v>1342</v>
      </c>
      <c r="G186" s="2">
        <f t="shared" si="2"/>
        <v>201.29999999999998</v>
      </c>
      <c r="H186">
        <v>5</v>
      </c>
    </row>
    <row r="187" spans="1:8" x14ac:dyDescent="0.25">
      <c r="A187" s="1">
        <v>45482</v>
      </c>
      <c r="B187" t="s">
        <v>192</v>
      </c>
      <c r="C187" t="s">
        <v>8</v>
      </c>
      <c r="D187" t="s">
        <v>788</v>
      </c>
      <c r="E187" t="s">
        <v>781</v>
      </c>
      <c r="F187">
        <v>26152</v>
      </c>
      <c r="G187" s="2">
        <f t="shared" si="2"/>
        <v>3922.7999999999997</v>
      </c>
      <c r="H187">
        <v>3</v>
      </c>
    </row>
    <row r="188" spans="1:8" x14ac:dyDescent="0.25">
      <c r="A188" s="1">
        <v>45653</v>
      </c>
      <c r="B188" t="s">
        <v>193</v>
      </c>
      <c r="C188" t="s">
        <v>7</v>
      </c>
      <c r="D188" t="s">
        <v>788</v>
      </c>
      <c r="E188" t="s">
        <v>780</v>
      </c>
      <c r="F188">
        <v>74537</v>
      </c>
      <c r="G188" s="2">
        <f t="shared" si="2"/>
        <v>11180.55</v>
      </c>
      <c r="H188">
        <v>2</v>
      </c>
    </row>
    <row r="189" spans="1:8" x14ac:dyDescent="0.25">
      <c r="A189" s="1">
        <v>45414</v>
      </c>
      <c r="B189" t="s">
        <v>194</v>
      </c>
      <c r="C189" t="s">
        <v>3</v>
      </c>
      <c r="D189" t="s">
        <v>786</v>
      </c>
      <c r="E189" t="s">
        <v>781</v>
      </c>
      <c r="F189">
        <v>20861</v>
      </c>
      <c r="G189" s="2">
        <f t="shared" si="2"/>
        <v>3129.15</v>
      </c>
      <c r="H189">
        <v>3</v>
      </c>
    </row>
    <row r="190" spans="1:8" x14ac:dyDescent="0.25">
      <c r="A190" s="1">
        <v>45460</v>
      </c>
      <c r="B190" t="s">
        <v>195</v>
      </c>
      <c r="C190" t="s">
        <v>6</v>
      </c>
      <c r="D190" t="s">
        <v>787</v>
      </c>
      <c r="E190" t="s">
        <v>781</v>
      </c>
      <c r="F190">
        <v>67514</v>
      </c>
      <c r="G190" s="2">
        <f t="shared" si="2"/>
        <v>10127.1</v>
      </c>
      <c r="H190">
        <v>2</v>
      </c>
    </row>
    <row r="191" spans="1:8" x14ac:dyDescent="0.25">
      <c r="A191" s="1">
        <v>45435</v>
      </c>
      <c r="B191" t="s">
        <v>196</v>
      </c>
      <c r="C191" t="s">
        <v>5</v>
      </c>
      <c r="D191" t="s">
        <v>787</v>
      </c>
      <c r="E191" t="s">
        <v>778</v>
      </c>
      <c r="F191">
        <v>14628</v>
      </c>
      <c r="G191" s="2">
        <f t="shared" si="2"/>
        <v>2194.1999999999998</v>
      </c>
      <c r="H191">
        <v>4</v>
      </c>
    </row>
    <row r="192" spans="1:8" x14ac:dyDescent="0.25">
      <c r="A192" s="1">
        <v>45563</v>
      </c>
      <c r="B192" t="s">
        <v>197</v>
      </c>
      <c r="C192" t="s">
        <v>4</v>
      </c>
      <c r="D192" t="s">
        <v>786</v>
      </c>
      <c r="E192" t="s">
        <v>778</v>
      </c>
      <c r="F192">
        <v>77816</v>
      </c>
      <c r="G192" s="2">
        <f t="shared" si="2"/>
        <v>11672.4</v>
      </c>
      <c r="H192">
        <v>3</v>
      </c>
    </row>
    <row r="193" spans="1:8" x14ac:dyDescent="0.25">
      <c r="A193" s="1">
        <v>45350</v>
      </c>
      <c r="B193" t="s">
        <v>198</v>
      </c>
      <c r="C193" t="s">
        <v>8</v>
      </c>
      <c r="D193" t="s">
        <v>788</v>
      </c>
      <c r="E193" t="s">
        <v>778</v>
      </c>
      <c r="F193">
        <v>72911</v>
      </c>
      <c r="G193" s="2">
        <f t="shared" si="2"/>
        <v>10936.65</v>
      </c>
      <c r="H193">
        <v>3</v>
      </c>
    </row>
    <row r="194" spans="1:8" x14ac:dyDescent="0.25">
      <c r="A194" s="1">
        <v>45496</v>
      </c>
      <c r="B194" t="s">
        <v>199</v>
      </c>
      <c r="C194" t="s">
        <v>8</v>
      </c>
      <c r="D194" t="s">
        <v>788</v>
      </c>
      <c r="E194" t="s">
        <v>778</v>
      </c>
      <c r="F194">
        <v>27782</v>
      </c>
      <c r="G194" s="2">
        <f t="shared" si="2"/>
        <v>4167.3</v>
      </c>
      <c r="H194">
        <v>3</v>
      </c>
    </row>
    <row r="195" spans="1:8" x14ac:dyDescent="0.25">
      <c r="A195" s="1">
        <v>45431</v>
      </c>
      <c r="B195" t="s">
        <v>200</v>
      </c>
      <c r="C195" t="s">
        <v>6</v>
      </c>
      <c r="D195" t="s">
        <v>787</v>
      </c>
      <c r="E195" t="s">
        <v>780</v>
      </c>
      <c r="F195">
        <v>44905</v>
      </c>
      <c r="G195" s="2">
        <f t="shared" ref="G195:G258" si="3">F195*0.15</f>
        <v>6735.75</v>
      </c>
      <c r="H195">
        <v>1</v>
      </c>
    </row>
    <row r="196" spans="1:8" x14ac:dyDescent="0.25">
      <c r="A196" s="1">
        <v>45513</v>
      </c>
      <c r="B196" t="s">
        <v>201</v>
      </c>
      <c r="C196" t="s">
        <v>4</v>
      </c>
      <c r="D196" t="s">
        <v>786</v>
      </c>
      <c r="E196" t="s">
        <v>780</v>
      </c>
      <c r="F196">
        <v>72121</v>
      </c>
      <c r="G196" s="2">
        <f t="shared" si="3"/>
        <v>10818.15</v>
      </c>
      <c r="H196">
        <v>5</v>
      </c>
    </row>
    <row r="197" spans="1:8" x14ac:dyDescent="0.25">
      <c r="A197" s="1">
        <v>45345</v>
      </c>
      <c r="B197" t="s">
        <v>202</v>
      </c>
      <c r="C197" t="s">
        <v>4</v>
      </c>
      <c r="D197" t="s">
        <v>786</v>
      </c>
      <c r="E197" t="s">
        <v>779</v>
      </c>
      <c r="F197">
        <v>32780</v>
      </c>
      <c r="G197" s="2">
        <f t="shared" si="3"/>
        <v>4917</v>
      </c>
      <c r="H197">
        <v>4</v>
      </c>
    </row>
    <row r="198" spans="1:8" x14ac:dyDescent="0.25">
      <c r="A198" s="1">
        <v>45546</v>
      </c>
      <c r="B198" t="s">
        <v>203</v>
      </c>
      <c r="C198" t="s">
        <v>4</v>
      </c>
      <c r="D198" t="s">
        <v>786</v>
      </c>
      <c r="E198" t="s">
        <v>778</v>
      </c>
      <c r="F198">
        <v>19595</v>
      </c>
      <c r="G198" s="2">
        <f t="shared" si="3"/>
        <v>2939.25</v>
      </c>
      <c r="H198">
        <v>2</v>
      </c>
    </row>
    <row r="199" spans="1:8" x14ac:dyDescent="0.25">
      <c r="A199" s="1">
        <v>45430</v>
      </c>
      <c r="B199" t="s">
        <v>204</v>
      </c>
      <c r="C199" t="s">
        <v>3</v>
      </c>
      <c r="D199" t="s">
        <v>786</v>
      </c>
      <c r="E199" t="s">
        <v>779</v>
      </c>
      <c r="F199">
        <v>72780</v>
      </c>
      <c r="G199" s="2">
        <f t="shared" si="3"/>
        <v>10917</v>
      </c>
      <c r="H199">
        <v>4</v>
      </c>
    </row>
    <row r="200" spans="1:8" x14ac:dyDescent="0.25">
      <c r="A200" s="1">
        <v>45471</v>
      </c>
      <c r="B200" t="s">
        <v>205</v>
      </c>
      <c r="C200" t="s">
        <v>7</v>
      </c>
      <c r="D200" t="s">
        <v>788</v>
      </c>
      <c r="E200" t="s">
        <v>781</v>
      </c>
      <c r="F200">
        <v>50810</v>
      </c>
      <c r="G200" s="2">
        <f t="shared" si="3"/>
        <v>7621.5</v>
      </c>
      <c r="H200">
        <v>1</v>
      </c>
    </row>
    <row r="201" spans="1:8" x14ac:dyDescent="0.25">
      <c r="A201" s="1">
        <v>45568</v>
      </c>
      <c r="B201" t="s">
        <v>206</v>
      </c>
      <c r="C201" t="s">
        <v>8</v>
      </c>
      <c r="D201" t="s">
        <v>788</v>
      </c>
      <c r="E201" t="s">
        <v>781</v>
      </c>
      <c r="F201">
        <v>26446</v>
      </c>
      <c r="G201" s="2">
        <f t="shared" si="3"/>
        <v>3966.8999999999996</v>
      </c>
      <c r="H201">
        <v>4</v>
      </c>
    </row>
    <row r="202" spans="1:8" x14ac:dyDescent="0.25">
      <c r="A202" s="1">
        <v>45526</v>
      </c>
      <c r="B202" t="s">
        <v>207</v>
      </c>
      <c r="C202" t="s">
        <v>7</v>
      </c>
      <c r="D202" t="s">
        <v>788</v>
      </c>
      <c r="E202" t="s">
        <v>778</v>
      </c>
      <c r="F202">
        <v>75138</v>
      </c>
      <c r="G202" s="2">
        <f t="shared" si="3"/>
        <v>11270.699999999999</v>
      </c>
      <c r="H202">
        <v>5</v>
      </c>
    </row>
    <row r="203" spans="1:8" x14ac:dyDescent="0.25">
      <c r="A203" s="1">
        <v>45506</v>
      </c>
      <c r="B203" t="s">
        <v>208</v>
      </c>
      <c r="C203" t="s">
        <v>4</v>
      </c>
      <c r="D203" t="s">
        <v>786</v>
      </c>
      <c r="E203" t="s">
        <v>778</v>
      </c>
      <c r="F203">
        <v>63994</v>
      </c>
      <c r="G203" s="2">
        <f t="shared" si="3"/>
        <v>9599.1</v>
      </c>
      <c r="H203">
        <v>4</v>
      </c>
    </row>
    <row r="204" spans="1:8" x14ac:dyDescent="0.25">
      <c r="A204" s="1">
        <v>45648</v>
      </c>
      <c r="B204" t="s">
        <v>209</v>
      </c>
      <c r="C204" t="s">
        <v>6</v>
      </c>
      <c r="D204" t="s">
        <v>787</v>
      </c>
      <c r="E204" t="s">
        <v>780</v>
      </c>
      <c r="F204">
        <v>23379</v>
      </c>
      <c r="G204" s="2">
        <f t="shared" si="3"/>
        <v>3506.85</v>
      </c>
      <c r="H204">
        <v>2</v>
      </c>
    </row>
    <row r="205" spans="1:8" x14ac:dyDescent="0.25">
      <c r="A205" s="1">
        <v>45431</v>
      </c>
      <c r="B205" t="s">
        <v>210</v>
      </c>
      <c r="C205" t="s">
        <v>3</v>
      </c>
      <c r="D205" t="s">
        <v>786</v>
      </c>
      <c r="E205" t="s">
        <v>778</v>
      </c>
      <c r="F205">
        <v>69855</v>
      </c>
      <c r="G205" s="2">
        <f t="shared" si="3"/>
        <v>10478.25</v>
      </c>
      <c r="H205">
        <v>3</v>
      </c>
    </row>
    <row r="206" spans="1:8" x14ac:dyDescent="0.25">
      <c r="A206" s="1">
        <v>45487</v>
      </c>
      <c r="B206" t="s">
        <v>211</v>
      </c>
      <c r="C206" t="s">
        <v>5</v>
      </c>
      <c r="D206" t="s">
        <v>787</v>
      </c>
      <c r="E206" t="s">
        <v>778</v>
      </c>
      <c r="F206">
        <v>9266</v>
      </c>
      <c r="G206" s="2">
        <f t="shared" si="3"/>
        <v>1389.8999999999999</v>
      </c>
      <c r="H206">
        <v>1</v>
      </c>
    </row>
    <row r="207" spans="1:8" x14ac:dyDescent="0.25">
      <c r="A207" s="1">
        <v>45584</v>
      </c>
      <c r="B207" t="s">
        <v>212</v>
      </c>
      <c r="C207" t="s">
        <v>4</v>
      </c>
      <c r="D207" t="s">
        <v>786</v>
      </c>
      <c r="E207" t="s">
        <v>778</v>
      </c>
      <c r="F207">
        <v>10778</v>
      </c>
      <c r="G207" s="2">
        <f t="shared" si="3"/>
        <v>1616.7</v>
      </c>
      <c r="H207">
        <v>2</v>
      </c>
    </row>
    <row r="208" spans="1:8" x14ac:dyDescent="0.25">
      <c r="A208" s="1">
        <v>45369</v>
      </c>
      <c r="B208" t="s">
        <v>213</v>
      </c>
      <c r="C208" t="s">
        <v>6</v>
      </c>
      <c r="D208" t="s">
        <v>787</v>
      </c>
      <c r="E208" t="s">
        <v>780</v>
      </c>
      <c r="F208">
        <v>49957</v>
      </c>
      <c r="G208" s="2">
        <f t="shared" si="3"/>
        <v>7493.5499999999993</v>
      </c>
      <c r="H208">
        <v>2</v>
      </c>
    </row>
    <row r="209" spans="1:8" x14ac:dyDescent="0.25">
      <c r="A209" s="1">
        <v>45383</v>
      </c>
      <c r="B209" t="s">
        <v>214</v>
      </c>
      <c r="C209" t="s">
        <v>8</v>
      </c>
      <c r="D209" t="s">
        <v>788</v>
      </c>
      <c r="E209" t="s">
        <v>778</v>
      </c>
      <c r="F209">
        <v>45401</v>
      </c>
      <c r="G209" s="2">
        <f t="shared" si="3"/>
        <v>6810.15</v>
      </c>
      <c r="H209">
        <v>2</v>
      </c>
    </row>
    <row r="210" spans="1:8" x14ac:dyDescent="0.25">
      <c r="A210" s="1">
        <v>45591</v>
      </c>
      <c r="B210" t="s">
        <v>215</v>
      </c>
      <c r="C210" t="s">
        <v>5</v>
      </c>
      <c r="D210" t="s">
        <v>787</v>
      </c>
      <c r="E210" t="s">
        <v>778</v>
      </c>
      <c r="F210">
        <v>61649</v>
      </c>
      <c r="G210" s="2">
        <f t="shared" si="3"/>
        <v>9247.35</v>
      </c>
      <c r="H210">
        <v>3</v>
      </c>
    </row>
    <row r="211" spans="1:8" x14ac:dyDescent="0.25">
      <c r="A211" s="1">
        <v>45527</v>
      </c>
      <c r="B211" t="s">
        <v>216</v>
      </c>
      <c r="C211" t="s">
        <v>6</v>
      </c>
      <c r="D211" t="s">
        <v>787</v>
      </c>
      <c r="E211" t="s">
        <v>778</v>
      </c>
      <c r="F211">
        <v>51243</v>
      </c>
      <c r="G211" s="2">
        <f t="shared" si="3"/>
        <v>7686.45</v>
      </c>
      <c r="H211">
        <v>5</v>
      </c>
    </row>
    <row r="212" spans="1:8" x14ac:dyDescent="0.25">
      <c r="A212" s="1">
        <v>45378</v>
      </c>
      <c r="B212" t="s">
        <v>217</v>
      </c>
      <c r="C212" t="s">
        <v>7</v>
      </c>
      <c r="D212" t="s">
        <v>788</v>
      </c>
      <c r="E212" t="s">
        <v>781</v>
      </c>
      <c r="F212">
        <v>5567</v>
      </c>
      <c r="G212" s="2">
        <f t="shared" si="3"/>
        <v>835.05</v>
      </c>
      <c r="H212">
        <v>4</v>
      </c>
    </row>
    <row r="213" spans="1:8" x14ac:dyDescent="0.25">
      <c r="A213" s="1">
        <v>45518</v>
      </c>
      <c r="B213" t="s">
        <v>218</v>
      </c>
      <c r="C213" t="s">
        <v>4</v>
      </c>
      <c r="D213" t="s">
        <v>786</v>
      </c>
      <c r="E213" t="s">
        <v>778</v>
      </c>
      <c r="F213">
        <v>73561</v>
      </c>
      <c r="G213" s="2">
        <f t="shared" si="3"/>
        <v>11034.15</v>
      </c>
      <c r="H213">
        <v>4</v>
      </c>
    </row>
    <row r="214" spans="1:8" x14ac:dyDescent="0.25">
      <c r="A214" s="1">
        <v>45392</v>
      </c>
      <c r="B214" t="s">
        <v>219</v>
      </c>
      <c r="C214" t="s">
        <v>4</v>
      </c>
      <c r="D214" t="s">
        <v>786</v>
      </c>
      <c r="E214" t="s">
        <v>781</v>
      </c>
      <c r="F214">
        <v>38609</v>
      </c>
      <c r="G214" s="2">
        <f t="shared" si="3"/>
        <v>5791.3499999999995</v>
      </c>
      <c r="H214">
        <v>2</v>
      </c>
    </row>
    <row r="215" spans="1:8" x14ac:dyDescent="0.25">
      <c r="A215" s="1">
        <v>45348</v>
      </c>
      <c r="B215" t="s">
        <v>220</v>
      </c>
      <c r="C215" t="s">
        <v>5</v>
      </c>
      <c r="D215" t="s">
        <v>787</v>
      </c>
      <c r="E215" t="s">
        <v>781</v>
      </c>
      <c r="F215">
        <v>9967</v>
      </c>
      <c r="G215" s="2">
        <f t="shared" si="3"/>
        <v>1495.05</v>
      </c>
      <c r="H215">
        <v>1</v>
      </c>
    </row>
    <row r="216" spans="1:8" x14ac:dyDescent="0.25">
      <c r="A216" s="1">
        <v>45371</v>
      </c>
      <c r="B216" t="s">
        <v>221</v>
      </c>
      <c r="C216" t="s">
        <v>3</v>
      </c>
      <c r="D216" t="s">
        <v>786</v>
      </c>
      <c r="E216" t="s">
        <v>780</v>
      </c>
      <c r="F216">
        <v>75174</v>
      </c>
      <c r="G216" s="2">
        <f t="shared" si="3"/>
        <v>11276.1</v>
      </c>
      <c r="H216">
        <v>1</v>
      </c>
    </row>
    <row r="217" spans="1:8" x14ac:dyDescent="0.25">
      <c r="A217" s="1">
        <v>45437</v>
      </c>
      <c r="B217" t="s">
        <v>222</v>
      </c>
      <c r="C217" t="s">
        <v>6</v>
      </c>
      <c r="D217" t="s">
        <v>787</v>
      </c>
      <c r="E217" t="s">
        <v>780</v>
      </c>
      <c r="F217">
        <v>2205</v>
      </c>
      <c r="G217" s="2">
        <f t="shared" si="3"/>
        <v>330.75</v>
      </c>
      <c r="H217">
        <v>1</v>
      </c>
    </row>
    <row r="218" spans="1:8" x14ac:dyDescent="0.25">
      <c r="A218" s="1">
        <v>45511</v>
      </c>
      <c r="B218" t="s">
        <v>223</v>
      </c>
      <c r="C218" t="s">
        <v>3</v>
      </c>
      <c r="D218" t="s">
        <v>786</v>
      </c>
      <c r="E218" t="s">
        <v>781</v>
      </c>
      <c r="F218">
        <v>32983</v>
      </c>
      <c r="G218" s="2">
        <f t="shared" si="3"/>
        <v>4947.45</v>
      </c>
      <c r="H218">
        <v>2</v>
      </c>
    </row>
    <row r="219" spans="1:8" x14ac:dyDescent="0.25">
      <c r="A219" s="1">
        <v>45517</v>
      </c>
      <c r="B219" t="s">
        <v>224</v>
      </c>
      <c r="C219" t="s">
        <v>5</v>
      </c>
      <c r="D219" t="s">
        <v>787</v>
      </c>
      <c r="E219" t="s">
        <v>778</v>
      </c>
      <c r="F219">
        <v>36308</v>
      </c>
      <c r="G219" s="2">
        <f t="shared" si="3"/>
        <v>5446.2</v>
      </c>
      <c r="H219">
        <v>5</v>
      </c>
    </row>
    <row r="220" spans="1:8" x14ac:dyDescent="0.25">
      <c r="A220" s="1">
        <v>45353</v>
      </c>
      <c r="B220" t="s">
        <v>225</v>
      </c>
      <c r="C220" t="s">
        <v>3</v>
      </c>
      <c r="D220" t="s">
        <v>786</v>
      </c>
      <c r="E220" t="s">
        <v>781</v>
      </c>
      <c r="F220">
        <v>61000</v>
      </c>
      <c r="G220" s="2">
        <f t="shared" si="3"/>
        <v>9150</v>
      </c>
      <c r="H220">
        <v>4</v>
      </c>
    </row>
    <row r="221" spans="1:8" x14ac:dyDescent="0.25">
      <c r="A221" s="1">
        <v>45447</v>
      </c>
      <c r="B221" t="s">
        <v>226</v>
      </c>
      <c r="C221" t="s">
        <v>7</v>
      </c>
      <c r="D221" t="s">
        <v>788</v>
      </c>
      <c r="E221" t="s">
        <v>780</v>
      </c>
      <c r="F221">
        <v>9579</v>
      </c>
      <c r="G221" s="2">
        <f t="shared" si="3"/>
        <v>1436.85</v>
      </c>
      <c r="H221">
        <v>3</v>
      </c>
    </row>
    <row r="222" spans="1:8" x14ac:dyDescent="0.25">
      <c r="A222" s="1">
        <v>45590</v>
      </c>
      <c r="B222" t="s">
        <v>227</v>
      </c>
      <c r="C222" t="s">
        <v>6</v>
      </c>
      <c r="D222" t="s">
        <v>787</v>
      </c>
      <c r="E222" t="s">
        <v>780</v>
      </c>
      <c r="F222">
        <v>62162</v>
      </c>
      <c r="G222" s="2">
        <f t="shared" si="3"/>
        <v>9324.2999999999993</v>
      </c>
      <c r="H222">
        <v>2</v>
      </c>
    </row>
    <row r="223" spans="1:8" x14ac:dyDescent="0.25">
      <c r="A223" s="1">
        <v>45553</v>
      </c>
      <c r="B223" t="s">
        <v>228</v>
      </c>
      <c r="C223" t="s">
        <v>5</v>
      </c>
      <c r="D223" t="s">
        <v>787</v>
      </c>
      <c r="E223" t="s">
        <v>778</v>
      </c>
      <c r="F223">
        <v>44265</v>
      </c>
      <c r="G223" s="2">
        <f t="shared" si="3"/>
        <v>6639.75</v>
      </c>
      <c r="H223">
        <v>5</v>
      </c>
    </row>
    <row r="224" spans="1:8" x14ac:dyDescent="0.25">
      <c r="A224" s="1">
        <v>45637</v>
      </c>
      <c r="B224" t="s">
        <v>229</v>
      </c>
      <c r="C224" t="s">
        <v>3</v>
      </c>
      <c r="D224" t="s">
        <v>786</v>
      </c>
      <c r="E224" t="s">
        <v>779</v>
      </c>
      <c r="F224">
        <v>62307</v>
      </c>
      <c r="G224" s="2">
        <f t="shared" si="3"/>
        <v>9346.0499999999993</v>
      </c>
      <c r="H224">
        <v>4</v>
      </c>
    </row>
    <row r="225" spans="1:8" x14ac:dyDescent="0.25">
      <c r="A225" s="1">
        <v>45642</v>
      </c>
      <c r="B225" t="s">
        <v>230</v>
      </c>
      <c r="C225" t="s">
        <v>4</v>
      </c>
      <c r="D225" t="s">
        <v>786</v>
      </c>
      <c r="E225" t="s">
        <v>778</v>
      </c>
      <c r="F225">
        <v>76107</v>
      </c>
      <c r="G225" s="2">
        <f t="shared" si="3"/>
        <v>11416.05</v>
      </c>
      <c r="H225">
        <v>4</v>
      </c>
    </row>
    <row r="226" spans="1:8" x14ac:dyDescent="0.25">
      <c r="A226" s="1">
        <v>45459</v>
      </c>
      <c r="B226" t="s">
        <v>231</v>
      </c>
      <c r="C226" t="s">
        <v>7</v>
      </c>
      <c r="D226" t="s">
        <v>788</v>
      </c>
      <c r="E226" t="s">
        <v>780</v>
      </c>
      <c r="F226">
        <v>68401</v>
      </c>
      <c r="G226" s="2">
        <f t="shared" si="3"/>
        <v>10260.15</v>
      </c>
      <c r="H226">
        <v>2</v>
      </c>
    </row>
    <row r="227" spans="1:8" x14ac:dyDescent="0.25">
      <c r="A227" s="1">
        <v>45300</v>
      </c>
      <c r="B227" t="s">
        <v>232</v>
      </c>
      <c r="C227" t="s">
        <v>6</v>
      </c>
      <c r="D227" t="s">
        <v>787</v>
      </c>
      <c r="E227" t="s">
        <v>779</v>
      </c>
      <c r="F227">
        <v>2337</v>
      </c>
      <c r="G227" s="2">
        <f t="shared" si="3"/>
        <v>350.55</v>
      </c>
      <c r="H227">
        <v>2</v>
      </c>
    </row>
    <row r="228" spans="1:8" x14ac:dyDescent="0.25">
      <c r="A228" s="1">
        <v>45448</v>
      </c>
      <c r="B228" t="s">
        <v>233</v>
      </c>
      <c r="C228" t="s">
        <v>3</v>
      </c>
      <c r="D228" t="s">
        <v>786</v>
      </c>
      <c r="E228" t="s">
        <v>779</v>
      </c>
      <c r="F228">
        <v>75164</v>
      </c>
      <c r="G228" s="2">
        <f t="shared" si="3"/>
        <v>11274.6</v>
      </c>
      <c r="H228">
        <v>4</v>
      </c>
    </row>
    <row r="229" spans="1:8" x14ac:dyDescent="0.25">
      <c r="A229" s="1">
        <v>45514</v>
      </c>
      <c r="B229" t="s">
        <v>234</v>
      </c>
      <c r="C229" t="s">
        <v>8</v>
      </c>
      <c r="D229" t="s">
        <v>788</v>
      </c>
      <c r="E229" t="s">
        <v>779</v>
      </c>
      <c r="F229">
        <v>3143</v>
      </c>
      <c r="G229" s="2">
        <f t="shared" si="3"/>
        <v>471.45</v>
      </c>
      <c r="H229">
        <v>1</v>
      </c>
    </row>
    <row r="230" spans="1:8" x14ac:dyDescent="0.25">
      <c r="A230" s="1">
        <v>45464</v>
      </c>
      <c r="B230" t="s">
        <v>235</v>
      </c>
      <c r="C230" t="s">
        <v>4</v>
      </c>
      <c r="D230" t="s">
        <v>786</v>
      </c>
      <c r="E230" t="s">
        <v>778</v>
      </c>
      <c r="F230">
        <v>71672</v>
      </c>
      <c r="G230" s="2">
        <f t="shared" si="3"/>
        <v>10750.8</v>
      </c>
      <c r="H230">
        <v>3</v>
      </c>
    </row>
    <row r="231" spans="1:8" x14ac:dyDescent="0.25">
      <c r="A231" s="1">
        <v>45323</v>
      </c>
      <c r="B231" t="s">
        <v>236</v>
      </c>
      <c r="C231" t="s">
        <v>8</v>
      </c>
      <c r="D231" t="s">
        <v>788</v>
      </c>
      <c r="E231" t="s">
        <v>781</v>
      </c>
      <c r="F231">
        <v>14155</v>
      </c>
      <c r="G231" s="2">
        <f t="shared" si="3"/>
        <v>2123.25</v>
      </c>
      <c r="H231">
        <v>4</v>
      </c>
    </row>
    <row r="232" spans="1:8" x14ac:dyDescent="0.25">
      <c r="A232" s="1">
        <v>45639</v>
      </c>
      <c r="B232" t="s">
        <v>237</v>
      </c>
      <c r="C232" t="s">
        <v>6</v>
      </c>
      <c r="D232" t="s">
        <v>787</v>
      </c>
      <c r="E232" t="s">
        <v>780</v>
      </c>
      <c r="F232">
        <v>5229</v>
      </c>
      <c r="G232" s="2">
        <f t="shared" si="3"/>
        <v>784.35</v>
      </c>
      <c r="H232">
        <v>5</v>
      </c>
    </row>
    <row r="233" spans="1:8" x14ac:dyDescent="0.25">
      <c r="A233" s="1">
        <v>45428</v>
      </c>
      <c r="B233" t="s">
        <v>238</v>
      </c>
      <c r="C233" t="s">
        <v>6</v>
      </c>
      <c r="D233" t="s">
        <v>787</v>
      </c>
      <c r="E233" t="s">
        <v>778</v>
      </c>
      <c r="F233">
        <v>18033</v>
      </c>
      <c r="G233" s="2">
        <f t="shared" si="3"/>
        <v>2704.95</v>
      </c>
      <c r="H233">
        <v>4</v>
      </c>
    </row>
    <row r="234" spans="1:8" x14ac:dyDescent="0.25">
      <c r="A234" s="1">
        <v>45345</v>
      </c>
      <c r="B234" t="s">
        <v>239</v>
      </c>
      <c r="C234" t="s">
        <v>6</v>
      </c>
      <c r="D234" t="s">
        <v>787</v>
      </c>
      <c r="E234" t="s">
        <v>778</v>
      </c>
      <c r="F234">
        <v>30326</v>
      </c>
      <c r="G234" s="2">
        <f t="shared" si="3"/>
        <v>4548.8999999999996</v>
      </c>
      <c r="H234">
        <v>1</v>
      </c>
    </row>
    <row r="235" spans="1:8" x14ac:dyDescent="0.25">
      <c r="A235" s="1">
        <v>45584</v>
      </c>
      <c r="B235" t="s">
        <v>240</v>
      </c>
      <c r="C235" t="s">
        <v>3</v>
      </c>
      <c r="D235" t="s">
        <v>786</v>
      </c>
      <c r="E235" t="s">
        <v>778</v>
      </c>
      <c r="F235">
        <v>34612</v>
      </c>
      <c r="G235" s="2">
        <f t="shared" si="3"/>
        <v>5191.8</v>
      </c>
      <c r="H235">
        <v>5</v>
      </c>
    </row>
    <row r="236" spans="1:8" x14ac:dyDescent="0.25">
      <c r="A236" s="1">
        <v>45524</v>
      </c>
      <c r="B236" t="s">
        <v>241</v>
      </c>
      <c r="C236" t="s">
        <v>6</v>
      </c>
      <c r="D236" t="s">
        <v>787</v>
      </c>
      <c r="E236" t="s">
        <v>778</v>
      </c>
      <c r="F236">
        <v>7223</v>
      </c>
      <c r="G236" s="2">
        <f t="shared" si="3"/>
        <v>1083.45</v>
      </c>
      <c r="H236">
        <v>5</v>
      </c>
    </row>
    <row r="237" spans="1:8" x14ac:dyDescent="0.25">
      <c r="A237" s="1">
        <v>45590</v>
      </c>
      <c r="B237" t="s">
        <v>242</v>
      </c>
      <c r="C237" t="s">
        <v>6</v>
      </c>
      <c r="D237" t="s">
        <v>787</v>
      </c>
      <c r="E237" t="s">
        <v>780</v>
      </c>
      <c r="F237">
        <v>34809</v>
      </c>
      <c r="G237" s="2">
        <f t="shared" si="3"/>
        <v>5221.3499999999995</v>
      </c>
      <c r="H237">
        <v>5</v>
      </c>
    </row>
    <row r="238" spans="1:8" x14ac:dyDescent="0.25">
      <c r="A238" s="1">
        <v>45416</v>
      </c>
      <c r="B238" t="s">
        <v>243</v>
      </c>
      <c r="C238" t="s">
        <v>4</v>
      </c>
      <c r="D238" t="s">
        <v>786</v>
      </c>
      <c r="E238" t="s">
        <v>779</v>
      </c>
      <c r="F238">
        <v>1709</v>
      </c>
      <c r="G238" s="2">
        <f t="shared" si="3"/>
        <v>256.34999999999997</v>
      </c>
      <c r="H238">
        <v>3</v>
      </c>
    </row>
    <row r="239" spans="1:8" x14ac:dyDescent="0.25">
      <c r="A239" s="1">
        <v>45379</v>
      </c>
      <c r="B239" t="s">
        <v>244</v>
      </c>
      <c r="C239" t="s">
        <v>6</v>
      </c>
      <c r="D239" t="s">
        <v>787</v>
      </c>
      <c r="E239" t="s">
        <v>778</v>
      </c>
      <c r="F239">
        <v>49037</v>
      </c>
      <c r="G239" s="2">
        <f t="shared" si="3"/>
        <v>7355.55</v>
      </c>
      <c r="H239">
        <v>3</v>
      </c>
    </row>
    <row r="240" spans="1:8" x14ac:dyDescent="0.25">
      <c r="A240" s="1">
        <v>45541</v>
      </c>
      <c r="B240" t="s">
        <v>245</v>
      </c>
      <c r="C240" t="s">
        <v>3</v>
      </c>
      <c r="D240" t="s">
        <v>786</v>
      </c>
      <c r="E240" t="s">
        <v>781</v>
      </c>
      <c r="F240">
        <v>54345</v>
      </c>
      <c r="G240" s="2">
        <f t="shared" si="3"/>
        <v>8151.75</v>
      </c>
      <c r="H240">
        <v>3</v>
      </c>
    </row>
    <row r="241" spans="1:8" x14ac:dyDescent="0.25">
      <c r="A241" s="1">
        <v>45546</v>
      </c>
      <c r="B241" t="s">
        <v>246</v>
      </c>
      <c r="C241" t="s">
        <v>6</v>
      </c>
      <c r="D241" t="s">
        <v>787</v>
      </c>
      <c r="E241" t="s">
        <v>779</v>
      </c>
      <c r="F241">
        <v>17510</v>
      </c>
      <c r="G241" s="2">
        <f t="shared" si="3"/>
        <v>2626.5</v>
      </c>
      <c r="H241">
        <v>2</v>
      </c>
    </row>
    <row r="242" spans="1:8" x14ac:dyDescent="0.25">
      <c r="A242" s="1">
        <v>45497</v>
      </c>
      <c r="B242" t="s">
        <v>247</v>
      </c>
      <c r="C242" t="s">
        <v>7</v>
      </c>
      <c r="D242" t="s">
        <v>788</v>
      </c>
      <c r="E242" t="s">
        <v>781</v>
      </c>
      <c r="F242">
        <v>69016</v>
      </c>
      <c r="G242" s="2">
        <f t="shared" si="3"/>
        <v>10352.4</v>
      </c>
      <c r="H242">
        <v>3</v>
      </c>
    </row>
    <row r="243" spans="1:8" x14ac:dyDescent="0.25">
      <c r="A243" s="1">
        <v>45296</v>
      </c>
      <c r="B243" t="s">
        <v>248</v>
      </c>
      <c r="C243" t="s">
        <v>6</v>
      </c>
      <c r="D243" t="s">
        <v>787</v>
      </c>
      <c r="E243" t="s">
        <v>778</v>
      </c>
      <c r="F243">
        <v>11499</v>
      </c>
      <c r="G243" s="2">
        <f t="shared" si="3"/>
        <v>1724.85</v>
      </c>
      <c r="H243">
        <v>1</v>
      </c>
    </row>
    <row r="244" spans="1:8" x14ac:dyDescent="0.25">
      <c r="A244" s="1">
        <v>45386</v>
      </c>
      <c r="B244" t="s">
        <v>249</v>
      </c>
      <c r="C244" t="s">
        <v>5</v>
      </c>
      <c r="D244" t="s">
        <v>787</v>
      </c>
      <c r="E244" t="s">
        <v>779</v>
      </c>
      <c r="F244">
        <v>44082</v>
      </c>
      <c r="G244" s="2">
        <f t="shared" si="3"/>
        <v>6612.3</v>
      </c>
      <c r="H244">
        <v>4</v>
      </c>
    </row>
    <row r="245" spans="1:8" x14ac:dyDescent="0.25">
      <c r="A245" s="1">
        <v>45474</v>
      </c>
      <c r="B245" t="s">
        <v>250</v>
      </c>
      <c r="C245" t="s">
        <v>8</v>
      </c>
      <c r="D245" t="s">
        <v>788</v>
      </c>
      <c r="E245" t="s">
        <v>781</v>
      </c>
      <c r="F245">
        <v>4681</v>
      </c>
      <c r="G245" s="2">
        <f t="shared" si="3"/>
        <v>702.15</v>
      </c>
      <c r="H245">
        <v>1</v>
      </c>
    </row>
    <row r="246" spans="1:8" x14ac:dyDescent="0.25">
      <c r="A246" s="1">
        <v>45558</v>
      </c>
      <c r="B246" t="s">
        <v>251</v>
      </c>
      <c r="C246" t="s">
        <v>7</v>
      </c>
      <c r="D246" t="s">
        <v>788</v>
      </c>
      <c r="E246" t="s">
        <v>778</v>
      </c>
      <c r="F246">
        <v>79911</v>
      </c>
      <c r="G246" s="2">
        <f t="shared" si="3"/>
        <v>11986.65</v>
      </c>
      <c r="H246">
        <v>4</v>
      </c>
    </row>
    <row r="247" spans="1:8" x14ac:dyDescent="0.25">
      <c r="A247" s="1">
        <v>45399</v>
      </c>
      <c r="B247" t="s">
        <v>252</v>
      </c>
      <c r="C247" t="s">
        <v>4</v>
      </c>
      <c r="D247" t="s">
        <v>786</v>
      </c>
      <c r="E247" t="s">
        <v>778</v>
      </c>
      <c r="F247">
        <v>75434</v>
      </c>
      <c r="G247" s="2">
        <f t="shared" si="3"/>
        <v>11315.1</v>
      </c>
      <c r="H247">
        <v>2</v>
      </c>
    </row>
    <row r="248" spans="1:8" x14ac:dyDescent="0.25">
      <c r="A248" s="1">
        <v>45579</v>
      </c>
      <c r="B248" t="s">
        <v>253</v>
      </c>
      <c r="C248" t="s">
        <v>3</v>
      </c>
      <c r="D248" t="s">
        <v>786</v>
      </c>
      <c r="E248" t="s">
        <v>780</v>
      </c>
      <c r="F248">
        <v>11240</v>
      </c>
      <c r="G248" s="2">
        <f t="shared" si="3"/>
        <v>1686</v>
      </c>
      <c r="H248">
        <v>1</v>
      </c>
    </row>
    <row r="249" spans="1:8" x14ac:dyDescent="0.25">
      <c r="A249" s="1">
        <v>45481</v>
      </c>
      <c r="B249" t="s">
        <v>254</v>
      </c>
      <c r="C249" t="s">
        <v>7</v>
      </c>
      <c r="D249" t="s">
        <v>788</v>
      </c>
      <c r="E249" t="s">
        <v>780</v>
      </c>
      <c r="F249">
        <v>68810</v>
      </c>
      <c r="G249" s="2">
        <f t="shared" si="3"/>
        <v>10321.5</v>
      </c>
      <c r="H249">
        <v>2</v>
      </c>
    </row>
    <row r="250" spans="1:8" x14ac:dyDescent="0.25">
      <c r="A250" s="1">
        <v>45556</v>
      </c>
      <c r="B250" t="s">
        <v>255</v>
      </c>
      <c r="C250" t="s">
        <v>7</v>
      </c>
      <c r="D250" t="s">
        <v>788</v>
      </c>
      <c r="E250" t="s">
        <v>778</v>
      </c>
      <c r="F250">
        <v>24076</v>
      </c>
      <c r="G250" s="2">
        <f t="shared" si="3"/>
        <v>3611.4</v>
      </c>
      <c r="H250">
        <v>4</v>
      </c>
    </row>
    <row r="251" spans="1:8" x14ac:dyDescent="0.25">
      <c r="A251" s="1">
        <v>45420</v>
      </c>
      <c r="B251" t="s">
        <v>256</v>
      </c>
      <c r="C251" t="s">
        <v>5</v>
      </c>
      <c r="D251" t="s">
        <v>787</v>
      </c>
      <c r="E251" t="s">
        <v>780</v>
      </c>
      <c r="F251">
        <v>36831</v>
      </c>
      <c r="G251" s="2">
        <f t="shared" si="3"/>
        <v>5524.65</v>
      </c>
      <c r="H251">
        <v>1</v>
      </c>
    </row>
    <row r="252" spans="1:8" x14ac:dyDescent="0.25">
      <c r="A252" s="1">
        <v>45616</v>
      </c>
      <c r="B252" t="s">
        <v>257</v>
      </c>
      <c r="C252" t="s">
        <v>5</v>
      </c>
      <c r="D252" t="s">
        <v>787</v>
      </c>
      <c r="E252" t="s">
        <v>778</v>
      </c>
      <c r="F252">
        <v>4896</v>
      </c>
      <c r="G252" s="2">
        <f t="shared" si="3"/>
        <v>734.4</v>
      </c>
      <c r="H252">
        <v>1</v>
      </c>
    </row>
    <row r="253" spans="1:8" x14ac:dyDescent="0.25">
      <c r="A253" s="1">
        <v>45527</v>
      </c>
      <c r="B253" t="s">
        <v>258</v>
      </c>
      <c r="C253" t="s">
        <v>5</v>
      </c>
      <c r="D253" t="s">
        <v>787</v>
      </c>
      <c r="E253" t="s">
        <v>780</v>
      </c>
      <c r="F253">
        <v>5103</v>
      </c>
      <c r="G253" s="2">
        <f t="shared" si="3"/>
        <v>765.44999999999993</v>
      </c>
      <c r="H253">
        <v>4</v>
      </c>
    </row>
    <row r="254" spans="1:8" x14ac:dyDescent="0.25">
      <c r="A254" s="1">
        <v>45401</v>
      </c>
      <c r="B254" t="s">
        <v>259</v>
      </c>
      <c r="C254" t="s">
        <v>5</v>
      </c>
      <c r="D254" t="s">
        <v>787</v>
      </c>
      <c r="E254" t="s">
        <v>778</v>
      </c>
      <c r="F254">
        <v>14184</v>
      </c>
      <c r="G254" s="2">
        <f t="shared" si="3"/>
        <v>2127.6</v>
      </c>
      <c r="H254">
        <v>2</v>
      </c>
    </row>
    <row r="255" spans="1:8" x14ac:dyDescent="0.25">
      <c r="A255" s="1">
        <v>45555</v>
      </c>
      <c r="B255" t="s">
        <v>260</v>
      </c>
      <c r="C255" t="s">
        <v>5</v>
      </c>
      <c r="D255" t="s">
        <v>787</v>
      </c>
      <c r="E255" t="s">
        <v>778</v>
      </c>
      <c r="F255">
        <v>12139</v>
      </c>
      <c r="G255" s="2">
        <f t="shared" si="3"/>
        <v>1820.85</v>
      </c>
      <c r="H255">
        <v>5</v>
      </c>
    </row>
    <row r="256" spans="1:8" x14ac:dyDescent="0.25">
      <c r="A256" s="1">
        <v>45482</v>
      </c>
      <c r="B256" t="s">
        <v>261</v>
      </c>
      <c r="C256" t="s">
        <v>6</v>
      </c>
      <c r="D256" t="s">
        <v>787</v>
      </c>
      <c r="E256" t="s">
        <v>778</v>
      </c>
      <c r="F256">
        <v>16738</v>
      </c>
      <c r="G256" s="2">
        <f t="shared" si="3"/>
        <v>2510.6999999999998</v>
      </c>
      <c r="H256">
        <v>1</v>
      </c>
    </row>
    <row r="257" spans="1:8" x14ac:dyDescent="0.25">
      <c r="A257" s="1">
        <v>45316</v>
      </c>
      <c r="B257" t="s">
        <v>262</v>
      </c>
      <c r="C257" t="s">
        <v>8</v>
      </c>
      <c r="D257" t="s">
        <v>788</v>
      </c>
      <c r="E257" t="s">
        <v>781</v>
      </c>
      <c r="F257">
        <v>42169</v>
      </c>
      <c r="G257" s="2">
        <f t="shared" si="3"/>
        <v>6325.3499999999995</v>
      </c>
      <c r="H257">
        <v>3</v>
      </c>
    </row>
    <row r="258" spans="1:8" x14ac:dyDescent="0.25">
      <c r="A258" s="1">
        <v>45571</v>
      </c>
      <c r="B258" t="s">
        <v>263</v>
      </c>
      <c r="C258" t="s">
        <v>4</v>
      </c>
      <c r="D258" t="s">
        <v>786</v>
      </c>
      <c r="E258" t="s">
        <v>780</v>
      </c>
      <c r="F258">
        <v>35255</v>
      </c>
      <c r="G258" s="2">
        <f t="shared" si="3"/>
        <v>5288.25</v>
      </c>
      <c r="H258">
        <v>4</v>
      </c>
    </row>
    <row r="259" spans="1:8" x14ac:dyDescent="0.25">
      <c r="A259" s="1">
        <v>45573</v>
      </c>
      <c r="B259" t="s">
        <v>264</v>
      </c>
      <c r="C259" t="s">
        <v>5</v>
      </c>
      <c r="D259" t="s">
        <v>787</v>
      </c>
      <c r="E259" t="s">
        <v>781</v>
      </c>
      <c r="F259">
        <v>27863</v>
      </c>
      <c r="G259" s="2">
        <f t="shared" ref="G259:G322" si="4">F259*0.15</f>
        <v>4179.45</v>
      </c>
      <c r="H259">
        <v>3</v>
      </c>
    </row>
    <row r="260" spans="1:8" x14ac:dyDescent="0.25">
      <c r="A260" s="1">
        <v>45370</v>
      </c>
      <c r="B260" t="s">
        <v>265</v>
      </c>
      <c r="C260" t="s">
        <v>4</v>
      </c>
      <c r="D260" t="s">
        <v>786</v>
      </c>
      <c r="E260" t="s">
        <v>780</v>
      </c>
      <c r="F260">
        <v>5692</v>
      </c>
      <c r="G260" s="2">
        <f t="shared" si="4"/>
        <v>853.8</v>
      </c>
      <c r="H260">
        <v>3</v>
      </c>
    </row>
    <row r="261" spans="1:8" x14ac:dyDescent="0.25">
      <c r="A261" s="1">
        <v>45431</v>
      </c>
      <c r="B261" t="s">
        <v>266</v>
      </c>
      <c r="C261" t="s">
        <v>8</v>
      </c>
      <c r="D261" t="s">
        <v>788</v>
      </c>
      <c r="E261" t="s">
        <v>780</v>
      </c>
      <c r="F261">
        <v>22200</v>
      </c>
      <c r="G261" s="2">
        <f t="shared" si="4"/>
        <v>3330</v>
      </c>
      <c r="H261">
        <v>5</v>
      </c>
    </row>
    <row r="262" spans="1:8" x14ac:dyDescent="0.25">
      <c r="A262" s="1">
        <v>45307</v>
      </c>
      <c r="B262" t="s">
        <v>267</v>
      </c>
      <c r="C262" t="s">
        <v>6</v>
      </c>
      <c r="D262" t="s">
        <v>787</v>
      </c>
      <c r="E262" t="s">
        <v>781</v>
      </c>
      <c r="F262">
        <v>36277</v>
      </c>
      <c r="G262" s="2">
        <f t="shared" si="4"/>
        <v>5441.55</v>
      </c>
      <c r="H262">
        <v>3</v>
      </c>
    </row>
    <row r="263" spans="1:8" x14ac:dyDescent="0.25">
      <c r="A263" s="1">
        <v>45435</v>
      </c>
      <c r="B263" t="s">
        <v>268</v>
      </c>
      <c r="C263" t="s">
        <v>6</v>
      </c>
      <c r="D263" t="s">
        <v>787</v>
      </c>
      <c r="E263" t="s">
        <v>781</v>
      </c>
      <c r="F263">
        <v>26658</v>
      </c>
      <c r="G263" s="2">
        <f t="shared" si="4"/>
        <v>3998.7</v>
      </c>
      <c r="H263">
        <v>3</v>
      </c>
    </row>
    <row r="264" spans="1:8" x14ac:dyDescent="0.25">
      <c r="A264" s="1">
        <v>45335</v>
      </c>
      <c r="B264" t="s">
        <v>269</v>
      </c>
      <c r="C264" t="s">
        <v>4</v>
      </c>
      <c r="D264" t="s">
        <v>786</v>
      </c>
      <c r="E264" t="s">
        <v>779</v>
      </c>
      <c r="F264">
        <v>34411</v>
      </c>
      <c r="G264" s="2">
        <f t="shared" si="4"/>
        <v>5161.6499999999996</v>
      </c>
      <c r="H264">
        <v>1</v>
      </c>
    </row>
    <row r="265" spans="1:8" x14ac:dyDescent="0.25">
      <c r="A265" s="1">
        <v>45540</v>
      </c>
      <c r="B265" t="s">
        <v>270</v>
      </c>
      <c r="C265" t="s">
        <v>4</v>
      </c>
      <c r="D265" t="s">
        <v>786</v>
      </c>
      <c r="E265" t="s">
        <v>779</v>
      </c>
      <c r="F265">
        <v>35763</v>
      </c>
      <c r="G265" s="2">
        <f t="shared" si="4"/>
        <v>5364.45</v>
      </c>
      <c r="H265">
        <v>5</v>
      </c>
    </row>
    <row r="266" spans="1:8" x14ac:dyDescent="0.25">
      <c r="A266" s="1">
        <v>45331</v>
      </c>
      <c r="B266" t="s">
        <v>271</v>
      </c>
      <c r="C266" t="s">
        <v>6</v>
      </c>
      <c r="D266" t="s">
        <v>787</v>
      </c>
      <c r="E266" t="s">
        <v>779</v>
      </c>
      <c r="F266">
        <v>43844</v>
      </c>
      <c r="G266" s="2">
        <f t="shared" si="4"/>
        <v>6576.5999999999995</v>
      </c>
      <c r="H266">
        <v>3</v>
      </c>
    </row>
    <row r="267" spans="1:8" x14ac:dyDescent="0.25">
      <c r="A267" s="1">
        <v>45297</v>
      </c>
      <c r="B267" t="s">
        <v>272</v>
      </c>
      <c r="C267" t="s">
        <v>8</v>
      </c>
      <c r="D267" t="s">
        <v>788</v>
      </c>
      <c r="E267" t="s">
        <v>781</v>
      </c>
      <c r="F267">
        <v>25600</v>
      </c>
      <c r="G267" s="2">
        <f t="shared" si="4"/>
        <v>3840</v>
      </c>
      <c r="H267">
        <v>3</v>
      </c>
    </row>
    <row r="268" spans="1:8" x14ac:dyDescent="0.25">
      <c r="A268" s="1">
        <v>45309</v>
      </c>
      <c r="B268" t="s">
        <v>273</v>
      </c>
      <c r="C268" t="s">
        <v>3</v>
      </c>
      <c r="D268" t="s">
        <v>786</v>
      </c>
      <c r="E268" t="s">
        <v>780</v>
      </c>
      <c r="F268">
        <v>6670</v>
      </c>
      <c r="G268" s="2">
        <f t="shared" si="4"/>
        <v>1000.5</v>
      </c>
      <c r="H268">
        <v>5</v>
      </c>
    </row>
    <row r="269" spans="1:8" x14ac:dyDescent="0.25">
      <c r="A269" s="1">
        <v>45348</v>
      </c>
      <c r="B269" t="s">
        <v>274</v>
      </c>
      <c r="C269" t="s">
        <v>5</v>
      </c>
      <c r="D269" t="s">
        <v>787</v>
      </c>
      <c r="E269" t="s">
        <v>781</v>
      </c>
      <c r="F269">
        <v>28820</v>
      </c>
      <c r="G269" s="2">
        <f t="shared" si="4"/>
        <v>4323</v>
      </c>
      <c r="H269">
        <v>4</v>
      </c>
    </row>
    <row r="270" spans="1:8" x14ac:dyDescent="0.25">
      <c r="A270" s="1">
        <v>45340</v>
      </c>
      <c r="B270" t="s">
        <v>275</v>
      </c>
      <c r="C270" t="s">
        <v>4</v>
      </c>
      <c r="D270" t="s">
        <v>786</v>
      </c>
      <c r="E270" t="s">
        <v>779</v>
      </c>
      <c r="F270">
        <v>6122</v>
      </c>
      <c r="G270" s="2">
        <f t="shared" si="4"/>
        <v>918.3</v>
      </c>
      <c r="H270">
        <v>1</v>
      </c>
    </row>
    <row r="271" spans="1:8" x14ac:dyDescent="0.25">
      <c r="A271" s="1">
        <v>45488</v>
      </c>
      <c r="B271" t="s">
        <v>276</v>
      </c>
      <c r="C271" t="s">
        <v>5</v>
      </c>
      <c r="D271" t="s">
        <v>787</v>
      </c>
      <c r="E271" t="s">
        <v>779</v>
      </c>
      <c r="F271">
        <v>25400</v>
      </c>
      <c r="G271" s="2">
        <f t="shared" si="4"/>
        <v>3810</v>
      </c>
      <c r="H271">
        <v>2</v>
      </c>
    </row>
    <row r="272" spans="1:8" x14ac:dyDescent="0.25">
      <c r="A272" s="1">
        <v>45373</v>
      </c>
      <c r="B272" t="s">
        <v>277</v>
      </c>
      <c r="C272" t="s">
        <v>7</v>
      </c>
      <c r="D272" t="s">
        <v>788</v>
      </c>
      <c r="E272" t="s">
        <v>780</v>
      </c>
      <c r="F272">
        <v>20109</v>
      </c>
      <c r="G272" s="2">
        <f t="shared" si="4"/>
        <v>3016.35</v>
      </c>
      <c r="H272">
        <v>5</v>
      </c>
    </row>
    <row r="273" spans="1:8" x14ac:dyDescent="0.25">
      <c r="A273" s="1">
        <v>45619</v>
      </c>
      <c r="B273" t="s">
        <v>278</v>
      </c>
      <c r="C273" t="s">
        <v>5</v>
      </c>
      <c r="D273" t="s">
        <v>787</v>
      </c>
      <c r="E273" t="s">
        <v>780</v>
      </c>
      <c r="F273">
        <v>47558</v>
      </c>
      <c r="G273" s="2">
        <f t="shared" si="4"/>
        <v>7133.7</v>
      </c>
      <c r="H273">
        <v>4</v>
      </c>
    </row>
    <row r="274" spans="1:8" x14ac:dyDescent="0.25">
      <c r="A274" s="1">
        <v>45650</v>
      </c>
      <c r="B274" t="s">
        <v>279</v>
      </c>
      <c r="C274" t="s">
        <v>8</v>
      </c>
      <c r="D274" t="s">
        <v>788</v>
      </c>
      <c r="E274" t="s">
        <v>778</v>
      </c>
      <c r="F274">
        <v>68039</v>
      </c>
      <c r="G274" s="2">
        <f t="shared" si="4"/>
        <v>10205.85</v>
      </c>
      <c r="H274">
        <v>1</v>
      </c>
    </row>
    <row r="275" spans="1:8" x14ac:dyDescent="0.25">
      <c r="A275" s="1">
        <v>45578</v>
      </c>
      <c r="B275" t="s">
        <v>280</v>
      </c>
      <c r="C275" t="s">
        <v>7</v>
      </c>
      <c r="D275" t="s">
        <v>788</v>
      </c>
      <c r="E275" t="s">
        <v>781</v>
      </c>
      <c r="F275">
        <v>78161</v>
      </c>
      <c r="G275" s="2">
        <f t="shared" si="4"/>
        <v>11724.15</v>
      </c>
      <c r="H275">
        <v>3</v>
      </c>
    </row>
    <row r="276" spans="1:8" x14ac:dyDescent="0.25">
      <c r="A276" s="1">
        <v>45559</v>
      </c>
      <c r="B276" t="s">
        <v>281</v>
      </c>
      <c r="C276" t="s">
        <v>4</v>
      </c>
      <c r="D276" t="s">
        <v>786</v>
      </c>
      <c r="E276" t="s">
        <v>778</v>
      </c>
      <c r="F276">
        <v>79287</v>
      </c>
      <c r="G276" s="2">
        <f t="shared" si="4"/>
        <v>11893.05</v>
      </c>
      <c r="H276">
        <v>4</v>
      </c>
    </row>
    <row r="277" spans="1:8" x14ac:dyDescent="0.25">
      <c r="A277" s="1">
        <v>45468</v>
      </c>
      <c r="B277" t="s">
        <v>282</v>
      </c>
      <c r="C277" t="s">
        <v>8</v>
      </c>
      <c r="D277" t="s">
        <v>788</v>
      </c>
      <c r="E277" t="s">
        <v>778</v>
      </c>
      <c r="F277">
        <v>24453</v>
      </c>
      <c r="G277" s="2">
        <f t="shared" si="4"/>
        <v>3667.95</v>
      </c>
      <c r="H277">
        <v>2</v>
      </c>
    </row>
    <row r="278" spans="1:8" x14ac:dyDescent="0.25">
      <c r="A278" s="1">
        <v>45383</v>
      </c>
      <c r="B278" t="s">
        <v>283</v>
      </c>
      <c r="C278" t="s">
        <v>7</v>
      </c>
      <c r="D278" t="s">
        <v>788</v>
      </c>
      <c r="E278" t="s">
        <v>780</v>
      </c>
      <c r="F278">
        <v>45549</v>
      </c>
      <c r="G278" s="2">
        <f t="shared" si="4"/>
        <v>6832.3499999999995</v>
      </c>
      <c r="H278">
        <v>2</v>
      </c>
    </row>
    <row r="279" spans="1:8" x14ac:dyDescent="0.25">
      <c r="A279" s="1">
        <v>45329</v>
      </c>
      <c r="B279" t="s">
        <v>284</v>
      </c>
      <c r="C279" t="s">
        <v>3</v>
      </c>
      <c r="D279" t="s">
        <v>786</v>
      </c>
      <c r="E279" t="s">
        <v>781</v>
      </c>
      <c r="F279">
        <v>15857</v>
      </c>
      <c r="G279" s="2">
        <f t="shared" si="4"/>
        <v>2378.5499999999997</v>
      </c>
      <c r="H279">
        <v>2</v>
      </c>
    </row>
    <row r="280" spans="1:8" x14ac:dyDescent="0.25">
      <c r="A280" s="1">
        <v>45639</v>
      </c>
      <c r="B280" t="s">
        <v>285</v>
      </c>
      <c r="C280" t="s">
        <v>5</v>
      </c>
      <c r="D280" t="s">
        <v>787</v>
      </c>
      <c r="E280" t="s">
        <v>779</v>
      </c>
      <c r="F280">
        <v>23325</v>
      </c>
      <c r="G280" s="2">
        <f t="shared" si="4"/>
        <v>3498.75</v>
      </c>
      <c r="H280">
        <v>1</v>
      </c>
    </row>
    <row r="281" spans="1:8" x14ac:dyDescent="0.25">
      <c r="A281" s="1">
        <v>45501</v>
      </c>
      <c r="B281" t="s">
        <v>286</v>
      </c>
      <c r="C281" t="s">
        <v>5</v>
      </c>
      <c r="D281" t="s">
        <v>787</v>
      </c>
      <c r="E281" t="s">
        <v>778</v>
      </c>
      <c r="F281">
        <v>74441</v>
      </c>
      <c r="G281" s="2">
        <f t="shared" si="4"/>
        <v>11166.15</v>
      </c>
      <c r="H281">
        <v>1</v>
      </c>
    </row>
    <row r="282" spans="1:8" x14ac:dyDescent="0.25">
      <c r="A282" s="1">
        <v>45523</v>
      </c>
      <c r="B282" t="s">
        <v>287</v>
      </c>
      <c r="C282" t="s">
        <v>7</v>
      </c>
      <c r="D282" t="s">
        <v>788</v>
      </c>
      <c r="E282" t="s">
        <v>778</v>
      </c>
      <c r="F282">
        <v>11497</v>
      </c>
      <c r="G282" s="2">
        <f t="shared" si="4"/>
        <v>1724.55</v>
      </c>
      <c r="H282">
        <v>1</v>
      </c>
    </row>
    <row r="283" spans="1:8" x14ac:dyDescent="0.25">
      <c r="A283" s="1">
        <v>45589</v>
      </c>
      <c r="B283" t="s">
        <v>288</v>
      </c>
      <c r="C283" t="s">
        <v>6</v>
      </c>
      <c r="D283" t="s">
        <v>787</v>
      </c>
      <c r="E283" t="s">
        <v>779</v>
      </c>
      <c r="F283">
        <v>38675</v>
      </c>
      <c r="G283" s="2">
        <f t="shared" si="4"/>
        <v>5801.25</v>
      </c>
      <c r="H283">
        <v>1</v>
      </c>
    </row>
    <row r="284" spans="1:8" x14ac:dyDescent="0.25">
      <c r="A284" s="1">
        <v>45313</v>
      </c>
      <c r="B284" t="s">
        <v>289</v>
      </c>
      <c r="C284" t="s">
        <v>7</v>
      </c>
      <c r="D284" t="s">
        <v>788</v>
      </c>
      <c r="E284" t="s">
        <v>781</v>
      </c>
      <c r="F284">
        <v>66179</v>
      </c>
      <c r="G284" s="2">
        <f t="shared" si="4"/>
        <v>9926.85</v>
      </c>
      <c r="H284">
        <v>2</v>
      </c>
    </row>
    <row r="285" spans="1:8" x14ac:dyDescent="0.25">
      <c r="A285" s="1">
        <v>45621</v>
      </c>
      <c r="B285" t="s">
        <v>290</v>
      </c>
      <c r="C285" t="s">
        <v>8</v>
      </c>
      <c r="D285" t="s">
        <v>788</v>
      </c>
      <c r="E285" t="s">
        <v>780</v>
      </c>
      <c r="F285">
        <v>74286</v>
      </c>
      <c r="G285" s="2">
        <f t="shared" si="4"/>
        <v>11142.9</v>
      </c>
      <c r="H285">
        <v>2</v>
      </c>
    </row>
    <row r="286" spans="1:8" x14ac:dyDescent="0.25">
      <c r="A286" s="1">
        <v>45396</v>
      </c>
      <c r="B286" t="s">
        <v>291</v>
      </c>
      <c r="C286" t="s">
        <v>7</v>
      </c>
      <c r="D286" t="s">
        <v>788</v>
      </c>
      <c r="E286" t="s">
        <v>780</v>
      </c>
      <c r="F286">
        <v>4423</v>
      </c>
      <c r="G286" s="2">
        <f t="shared" si="4"/>
        <v>663.44999999999993</v>
      </c>
      <c r="H286">
        <v>2</v>
      </c>
    </row>
    <row r="287" spans="1:8" x14ac:dyDescent="0.25">
      <c r="A287" s="1">
        <v>45517</v>
      </c>
      <c r="B287" t="s">
        <v>292</v>
      </c>
      <c r="C287" t="s">
        <v>5</v>
      </c>
      <c r="D287" t="s">
        <v>787</v>
      </c>
      <c r="E287" t="s">
        <v>779</v>
      </c>
      <c r="F287">
        <v>20093</v>
      </c>
      <c r="G287" s="2">
        <f t="shared" si="4"/>
        <v>3013.95</v>
      </c>
      <c r="H287">
        <v>4</v>
      </c>
    </row>
    <row r="288" spans="1:8" x14ac:dyDescent="0.25">
      <c r="A288" s="1">
        <v>45651</v>
      </c>
      <c r="B288" t="s">
        <v>293</v>
      </c>
      <c r="C288" t="s">
        <v>6</v>
      </c>
      <c r="D288" t="s">
        <v>787</v>
      </c>
      <c r="E288" t="s">
        <v>779</v>
      </c>
      <c r="F288">
        <v>71977</v>
      </c>
      <c r="G288" s="2">
        <f t="shared" si="4"/>
        <v>10796.55</v>
      </c>
      <c r="H288">
        <v>1</v>
      </c>
    </row>
    <row r="289" spans="1:8" x14ac:dyDescent="0.25">
      <c r="A289" s="1">
        <v>45457</v>
      </c>
      <c r="B289" t="s">
        <v>294</v>
      </c>
      <c r="C289" t="s">
        <v>5</v>
      </c>
      <c r="D289" t="s">
        <v>787</v>
      </c>
      <c r="E289" t="s">
        <v>778</v>
      </c>
      <c r="F289">
        <v>67328</v>
      </c>
      <c r="G289" s="2">
        <f t="shared" si="4"/>
        <v>10099.199999999999</v>
      </c>
      <c r="H289">
        <v>2</v>
      </c>
    </row>
    <row r="290" spans="1:8" x14ac:dyDescent="0.25">
      <c r="A290" s="1">
        <v>45338</v>
      </c>
      <c r="B290" t="s">
        <v>295</v>
      </c>
      <c r="C290" t="s">
        <v>5</v>
      </c>
      <c r="D290" t="s">
        <v>787</v>
      </c>
      <c r="E290" t="s">
        <v>779</v>
      </c>
      <c r="F290">
        <v>7291</v>
      </c>
      <c r="G290" s="2">
        <f t="shared" si="4"/>
        <v>1093.6499999999999</v>
      </c>
      <c r="H290">
        <v>2</v>
      </c>
    </row>
    <row r="291" spans="1:8" x14ac:dyDescent="0.25">
      <c r="A291" s="1">
        <v>45523</v>
      </c>
      <c r="B291" t="s">
        <v>296</v>
      </c>
      <c r="C291" t="s">
        <v>5</v>
      </c>
      <c r="D291" t="s">
        <v>787</v>
      </c>
      <c r="E291" t="s">
        <v>780</v>
      </c>
      <c r="F291">
        <v>38796</v>
      </c>
      <c r="G291" s="2">
        <f t="shared" si="4"/>
        <v>5819.4</v>
      </c>
      <c r="H291">
        <v>5</v>
      </c>
    </row>
    <row r="292" spans="1:8" x14ac:dyDescent="0.25">
      <c r="A292" s="1">
        <v>45312</v>
      </c>
      <c r="B292" t="s">
        <v>297</v>
      </c>
      <c r="C292" t="s">
        <v>8</v>
      </c>
      <c r="D292" t="s">
        <v>788</v>
      </c>
      <c r="E292" t="s">
        <v>779</v>
      </c>
      <c r="F292">
        <v>60454</v>
      </c>
      <c r="G292" s="2">
        <f t="shared" si="4"/>
        <v>9068.1</v>
      </c>
      <c r="H292">
        <v>3</v>
      </c>
    </row>
    <row r="293" spans="1:8" x14ac:dyDescent="0.25">
      <c r="A293" s="1">
        <v>45336</v>
      </c>
      <c r="B293" t="s">
        <v>298</v>
      </c>
      <c r="C293" t="s">
        <v>7</v>
      </c>
      <c r="D293" t="s">
        <v>788</v>
      </c>
      <c r="E293" t="s">
        <v>780</v>
      </c>
      <c r="F293">
        <v>30167</v>
      </c>
      <c r="G293" s="2">
        <f t="shared" si="4"/>
        <v>4525.05</v>
      </c>
      <c r="H293">
        <v>3</v>
      </c>
    </row>
    <row r="294" spans="1:8" x14ac:dyDescent="0.25">
      <c r="A294" s="1">
        <v>45339</v>
      </c>
      <c r="B294" t="s">
        <v>299</v>
      </c>
      <c r="C294" t="s">
        <v>4</v>
      </c>
      <c r="D294" t="s">
        <v>786</v>
      </c>
      <c r="E294" t="s">
        <v>781</v>
      </c>
      <c r="F294">
        <v>53061</v>
      </c>
      <c r="G294" s="2">
        <f t="shared" si="4"/>
        <v>7959.15</v>
      </c>
      <c r="H294">
        <v>5</v>
      </c>
    </row>
    <row r="295" spans="1:8" x14ac:dyDescent="0.25">
      <c r="A295" s="1">
        <v>45605</v>
      </c>
      <c r="B295" t="s">
        <v>300</v>
      </c>
      <c r="C295" t="s">
        <v>5</v>
      </c>
      <c r="D295" t="s">
        <v>787</v>
      </c>
      <c r="E295" t="s">
        <v>779</v>
      </c>
      <c r="F295">
        <v>79755</v>
      </c>
      <c r="G295" s="2">
        <f t="shared" si="4"/>
        <v>11963.25</v>
      </c>
      <c r="H295">
        <v>2</v>
      </c>
    </row>
    <row r="296" spans="1:8" x14ac:dyDescent="0.25">
      <c r="A296" s="1">
        <v>45600</v>
      </c>
      <c r="B296" t="s">
        <v>301</v>
      </c>
      <c r="C296" t="s">
        <v>5</v>
      </c>
      <c r="D296" t="s">
        <v>787</v>
      </c>
      <c r="E296" t="s">
        <v>781</v>
      </c>
      <c r="F296">
        <v>72020</v>
      </c>
      <c r="G296" s="2">
        <f t="shared" si="4"/>
        <v>10803</v>
      </c>
      <c r="H296">
        <v>4</v>
      </c>
    </row>
    <row r="297" spans="1:8" x14ac:dyDescent="0.25">
      <c r="A297" s="1">
        <v>45375</v>
      </c>
      <c r="B297" t="s">
        <v>302</v>
      </c>
      <c r="C297" t="s">
        <v>6</v>
      </c>
      <c r="D297" t="s">
        <v>787</v>
      </c>
      <c r="E297" t="s">
        <v>780</v>
      </c>
      <c r="F297">
        <v>33769</v>
      </c>
      <c r="G297" s="2">
        <f t="shared" si="4"/>
        <v>5065.3499999999995</v>
      </c>
      <c r="H297">
        <v>5</v>
      </c>
    </row>
    <row r="298" spans="1:8" x14ac:dyDescent="0.25">
      <c r="A298" s="1">
        <v>45332</v>
      </c>
      <c r="B298" t="s">
        <v>303</v>
      </c>
      <c r="C298" t="s">
        <v>4</v>
      </c>
      <c r="D298" t="s">
        <v>786</v>
      </c>
      <c r="E298" t="s">
        <v>778</v>
      </c>
      <c r="F298">
        <v>10968</v>
      </c>
      <c r="G298" s="2">
        <f t="shared" si="4"/>
        <v>1645.2</v>
      </c>
      <c r="H298">
        <v>1</v>
      </c>
    </row>
    <row r="299" spans="1:8" x14ac:dyDescent="0.25">
      <c r="A299" s="1">
        <v>45617</v>
      </c>
      <c r="B299" t="s">
        <v>304</v>
      </c>
      <c r="C299" t="s">
        <v>3</v>
      </c>
      <c r="D299" t="s">
        <v>786</v>
      </c>
      <c r="E299" t="s">
        <v>781</v>
      </c>
      <c r="F299">
        <v>23462</v>
      </c>
      <c r="G299" s="2">
        <f t="shared" si="4"/>
        <v>3519.2999999999997</v>
      </c>
      <c r="H299">
        <v>5</v>
      </c>
    </row>
    <row r="300" spans="1:8" x14ac:dyDescent="0.25">
      <c r="A300" s="1">
        <v>45516</v>
      </c>
      <c r="B300" t="s">
        <v>305</v>
      </c>
      <c r="C300" t="s">
        <v>8</v>
      </c>
      <c r="D300" t="s">
        <v>788</v>
      </c>
      <c r="E300" t="s">
        <v>779</v>
      </c>
      <c r="F300">
        <v>53087</v>
      </c>
      <c r="G300" s="2">
        <f t="shared" si="4"/>
        <v>7963.0499999999993</v>
      </c>
      <c r="H300">
        <v>1</v>
      </c>
    </row>
    <row r="301" spans="1:8" x14ac:dyDescent="0.25">
      <c r="A301" s="1">
        <v>45593</v>
      </c>
      <c r="B301" t="s">
        <v>306</v>
      </c>
      <c r="C301" t="s">
        <v>3</v>
      </c>
      <c r="D301" t="s">
        <v>786</v>
      </c>
      <c r="E301" t="s">
        <v>780</v>
      </c>
      <c r="F301">
        <v>5710</v>
      </c>
      <c r="G301" s="2">
        <f t="shared" si="4"/>
        <v>856.5</v>
      </c>
      <c r="H301">
        <v>1</v>
      </c>
    </row>
    <row r="302" spans="1:8" x14ac:dyDescent="0.25">
      <c r="A302" s="1">
        <v>45311</v>
      </c>
      <c r="B302" t="s">
        <v>307</v>
      </c>
      <c r="C302" t="s">
        <v>3</v>
      </c>
      <c r="D302" t="s">
        <v>786</v>
      </c>
      <c r="E302" t="s">
        <v>781</v>
      </c>
      <c r="F302">
        <v>46072</v>
      </c>
      <c r="G302" s="2">
        <f t="shared" si="4"/>
        <v>6910.8</v>
      </c>
      <c r="H302">
        <v>3</v>
      </c>
    </row>
    <row r="303" spans="1:8" x14ac:dyDescent="0.25">
      <c r="A303" s="1">
        <v>45568</v>
      </c>
      <c r="B303" t="s">
        <v>308</v>
      </c>
      <c r="C303" t="s">
        <v>6</v>
      </c>
      <c r="D303" t="s">
        <v>787</v>
      </c>
      <c r="E303" t="s">
        <v>778</v>
      </c>
      <c r="F303">
        <v>76103</v>
      </c>
      <c r="G303" s="2">
        <f t="shared" si="4"/>
        <v>11415.449999999999</v>
      </c>
      <c r="H303">
        <v>5</v>
      </c>
    </row>
    <row r="304" spans="1:8" x14ac:dyDescent="0.25">
      <c r="A304" s="1">
        <v>45619</v>
      </c>
      <c r="B304" t="s">
        <v>309</v>
      </c>
      <c r="C304" t="s">
        <v>6</v>
      </c>
      <c r="D304" t="s">
        <v>787</v>
      </c>
      <c r="E304" t="s">
        <v>781</v>
      </c>
      <c r="F304">
        <v>29409</v>
      </c>
      <c r="G304" s="2">
        <f t="shared" si="4"/>
        <v>4411.3499999999995</v>
      </c>
      <c r="H304">
        <v>1</v>
      </c>
    </row>
    <row r="305" spans="1:8" x14ac:dyDescent="0.25">
      <c r="A305" s="1">
        <v>45317</v>
      </c>
      <c r="B305" t="s">
        <v>310</v>
      </c>
      <c r="C305" t="s">
        <v>8</v>
      </c>
      <c r="D305" t="s">
        <v>788</v>
      </c>
      <c r="E305" t="s">
        <v>781</v>
      </c>
      <c r="F305">
        <v>37829</v>
      </c>
      <c r="G305" s="2">
        <f t="shared" si="4"/>
        <v>5674.3499999999995</v>
      </c>
      <c r="H305">
        <v>5</v>
      </c>
    </row>
    <row r="306" spans="1:8" x14ac:dyDescent="0.25">
      <c r="A306" s="1">
        <v>45386</v>
      </c>
      <c r="B306" t="s">
        <v>311</v>
      </c>
      <c r="C306" t="s">
        <v>8</v>
      </c>
      <c r="D306" t="s">
        <v>788</v>
      </c>
      <c r="E306" t="s">
        <v>780</v>
      </c>
      <c r="F306">
        <v>36025</v>
      </c>
      <c r="G306" s="2">
        <f t="shared" si="4"/>
        <v>5403.75</v>
      </c>
      <c r="H306">
        <v>1</v>
      </c>
    </row>
    <row r="307" spans="1:8" x14ac:dyDescent="0.25">
      <c r="A307" s="1">
        <v>45549</v>
      </c>
      <c r="B307" t="s">
        <v>312</v>
      </c>
      <c r="C307" t="s">
        <v>8</v>
      </c>
      <c r="D307" t="s">
        <v>788</v>
      </c>
      <c r="E307" t="s">
        <v>781</v>
      </c>
      <c r="F307">
        <v>33811</v>
      </c>
      <c r="G307" s="2">
        <f t="shared" si="4"/>
        <v>5071.6499999999996</v>
      </c>
      <c r="H307">
        <v>1</v>
      </c>
    </row>
    <row r="308" spans="1:8" x14ac:dyDescent="0.25">
      <c r="A308" s="1">
        <v>45509</v>
      </c>
      <c r="B308" t="s">
        <v>313</v>
      </c>
      <c r="C308" t="s">
        <v>5</v>
      </c>
      <c r="D308" t="s">
        <v>787</v>
      </c>
      <c r="E308" t="s">
        <v>781</v>
      </c>
      <c r="F308">
        <v>57091</v>
      </c>
      <c r="G308" s="2">
        <f t="shared" si="4"/>
        <v>8563.65</v>
      </c>
      <c r="H308">
        <v>5</v>
      </c>
    </row>
    <row r="309" spans="1:8" x14ac:dyDescent="0.25">
      <c r="A309" s="1">
        <v>45487</v>
      </c>
      <c r="B309" t="s">
        <v>314</v>
      </c>
      <c r="C309" t="s">
        <v>6</v>
      </c>
      <c r="D309" t="s">
        <v>787</v>
      </c>
      <c r="E309" t="s">
        <v>780</v>
      </c>
      <c r="F309">
        <v>41357</v>
      </c>
      <c r="G309" s="2">
        <f t="shared" si="4"/>
        <v>6203.55</v>
      </c>
      <c r="H309">
        <v>4</v>
      </c>
    </row>
    <row r="310" spans="1:8" x14ac:dyDescent="0.25">
      <c r="A310" s="1">
        <v>45540</v>
      </c>
      <c r="B310" t="s">
        <v>315</v>
      </c>
      <c r="C310" t="s">
        <v>8</v>
      </c>
      <c r="D310" t="s">
        <v>788</v>
      </c>
      <c r="E310" t="s">
        <v>779</v>
      </c>
      <c r="F310">
        <v>62366</v>
      </c>
      <c r="G310" s="2">
        <f t="shared" si="4"/>
        <v>9354.9</v>
      </c>
      <c r="H310">
        <v>5</v>
      </c>
    </row>
    <row r="311" spans="1:8" x14ac:dyDescent="0.25">
      <c r="A311" s="1">
        <v>45378</v>
      </c>
      <c r="B311" t="s">
        <v>316</v>
      </c>
      <c r="C311" t="s">
        <v>8</v>
      </c>
      <c r="D311" t="s">
        <v>788</v>
      </c>
      <c r="E311" t="s">
        <v>780</v>
      </c>
      <c r="F311">
        <v>8287</v>
      </c>
      <c r="G311" s="2">
        <f t="shared" si="4"/>
        <v>1243.05</v>
      </c>
      <c r="H311">
        <v>5</v>
      </c>
    </row>
    <row r="312" spans="1:8" x14ac:dyDescent="0.25">
      <c r="A312" s="1">
        <v>45458</v>
      </c>
      <c r="B312" t="s">
        <v>317</v>
      </c>
      <c r="C312" t="s">
        <v>8</v>
      </c>
      <c r="D312" t="s">
        <v>788</v>
      </c>
      <c r="E312" t="s">
        <v>780</v>
      </c>
      <c r="F312">
        <v>24030</v>
      </c>
      <c r="G312" s="2">
        <f t="shared" si="4"/>
        <v>3604.5</v>
      </c>
      <c r="H312">
        <v>3</v>
      </c>
    </row>
    <row r="313" spans="1:8" x14ac:dyDescent="0.25">
      <c r="A313" s="1">
        <v>45627</v>
      </c>
      <c r="B313" t="s">
        <v>318</v>
      </c>
      <c r="C313" t="s">
        <v>6</v>
      </c>
      <c r="D313" t="s">
        <v>787</v>
      </c>
      <c r="E313" t="s">
        <v>778</v>
      </c>
      <c r="F313">
        <v>17033</v>
      </c>
      <c r="G313" s="2">
        <f t="shared" si="4"/>
        <v>2554.9499999999998</v>
      </c>
      <c r="H313">
        <v>4</v>
      </c>
    </row>
    <row r="314" spans="1:8" x14ac:dyDescent="0.25">
      <c r="A314" s="1">
        <v>45421</v>
      </c>
      <c r="B314" t="s">
        <v>319</v>
      </c>
      <c r="C314" t="s">
        <v>3</v>
      </c>
      <c r="D314" t="s">
        <v>786</v>
      </c>
      <c r="E314" t="s">
        <v>780</v>
      </c>
      <c r="F314">
        <v>61309</v>
      </c>
      <c r="G314" s="2">
        <f t="shared" si="4"/>
        <v>9196.35</v>
      </c>
      <c r="H314">
        <v>5</v>
      </c>
    </row>
    <row r="315" spans="1:8" x14ac:dyDescent="0.25">
      <c r="A315" s="1">
        <v>45362</v>
      </c>
      <c r="B315" t="s">
        <v>320</v>
      </c>
      <c r="C315" t="s">
        <v>8</v>
      </c>
      <c r="D315" t="s">
        <v>788</v>
      </c>
      <c r="E315" t="s">
        <v>779</v>
      </c>
      <c r="F315">
        <v>30797</v>
      </c>
      <c r="G315" s="2">
        <f t="shared" si="4"/>
        <v>4619.55</v>
      </c>
      <c r="H315">
        <v>5</v>
      </c>
    </row>
    <row r="316" spans="1:8" x14ac:dyDescent="0.25">
      <c r="A316" s="1">
        <v>45517</v>
      </c>
      <c r="B316" t="s">
        <v>321</v>
      </c>
      <c r="C316" t="s">
        <v>6</v>
      </c>
      <c r="D316" t="s">
        <v>787</v>
      </c>
      <c r="E316" t="s">
        <v>779</v>
      </c>
      <c r="F316">
        <v>44858</v>
      </c>
      <c r="G316" s="2">
        <f t="shared" si="4"/>
        <v>6728.7</v>
      </c>
      <c r="H316">
        <v>4</v>
      </c>
    </row>
    <row r="317" spans="1:8" x14ac:dyDescent="0.25">
      <c r="A317" s="1">
        <v>45527</v>
      </c>
      <c r="B317" t="s">
        <v>322</v>
      </c>
      <c r="C317" t="s">
        <v>7</v>
      </c>
      <c r="D317" t="s">
        <v>788</v>
      </c>
      <c r="E317" t="s">
        <v>781</v>
      </c>
      <c r="F317">
        <v>45307</v>
      </c>
      <c r="G317" s="2">
        <f t="shared" si="4"/>
        <v>6796.05</v>
      </c>
      <c r="H317">
        <v>4</v>
      </c>
    </row>
    <row r="318" spans="1:8" x14ac:dyDescent="0.25">
      <c r="A318" s="1">
        <v>45413</v>
      </c>
      <c r="B318" t="s">
        <v>323</v>
      </c>
      <c r="C318" t="s">
        <v>8</v>
      </c>
      <c r="D318" t="s">
        <v>788</v>
      </c>
      <c r="E318" t="s">
        <v>781</v>
      </c>
      <c r="F318">
        <v>69425</v>
      </c>
      <c r="G318" s="2">
        <f t="shared" si="4"/>
        <v>10413.75</v>
      </c>
      <c r="H318">
        <v>1</v>
      </c>
    </row>
    <row r="319" spans="1:8" x14ac:dyDescent="0.25">
      <c r="A319" s="1">
        <v>45419</v>
      </c>
      <c r="B319" t="s">
        <v>31</v>
      </c>
      <c r="C319" t="s">
        <v>3</v>
      </c>
      <c r="D319" t="s">
        <v>786</v>
      </c>
      <c r="E319" t="s">
        <v>780</v>
      </c>
      <c r="F319">
        <v>8084</v>
      </c>
      <c r="G319" s="2">
        <f t="shared" si="4"/>
        <v>1212.5999999999999</v>
      </c>
      <c r="H319">
        <v>4</v>
      </c>
    </row>
    <row r="320" spans="1:8" x14ac:dyDescent="0.25">
      <c r="A320" s="1">
        <v>45325</v>
      </c>
      <c r="B320" t="s">
        <v>324</v>
      </c>
      <c r="C320" t="s">
        <v>8</v>
      </c>
      <c r="D320" t="s">
        <v>788</v>
      </c>
      <c r="E320" t="s">
        <v>781</v>
      </c>
      <c r="F320">
        <v>39075</v>
      </c>
      <c r="G320" s="2">
        <f t="shared" si="4"/>
        <v>5861.25</v>
      </c>
      <c r="H320">
        <v>2</v>
      </c>
    </row>
    <row r="321" spans="1:8" x14ac:dyDescent="0.25">
      <c r="A321" s="1">
        <v>45354</v>
      </c>
      <c r="B321" t="s">
        <v>325</v>
      </c>
      <c r="C321" t="s">
        <v>7</v>
      </c>
      <c r="D321" t="s">
        <v>788</v>
      </c>
      <c r="E321" t="s">
        <v>779</v>
      </c>
      <c r="F321">
        <v>57765</v>
      </c>
      <c r="G321" s="2">
        <f t="shared" si="4"/>
        <v>8664.75</v>
      </c>
      <c r="H321">
        <v>1</v>
      </c>
    </row>
    <row r="322" spans="1:8" x14ac:dyDescent="0.25">
      <c r="A322" s="1">
        <v>45402</v>
      </c>
      <c r="B322" t="s">
        <v>326</v>
      </c>
      <c r="C322" t="s">
        <v>8</v>
      </c>
      <c r="D322" t="s">
        <v>788</v>
      </c>
      <c r="E322" t="s">
        <v>780</v>
      </c>
      <c r="F322">
        <v>29914</v>
      </c>
      <c r="G322" s="2">
        <f t="shared" si="4"/>
        <v>4487.0999999999995</v>
      </c>
      <c r="H322">
        <v>4</v>
      </c>
    </row>
    <row r="323" spans="1:8" x14ac:dyDescent="0.25">
      <c r="A323" s="1">
        <v>45389</v>
      </c>
      <c r="B323" t="s">
        <v>327</v>
      </c>
      <c r="C323" t="s">
        <v>8</v>
      </c>
      <c r="D323" t="s">
        <v>788</v>
      </c>
      <c r="E323" t="s">
        <v>781</v>
      </c>
      <c r="F323">
        <v>67516</v>
      </c>
      <c r="G323" s="2">
        <f t="shared" ref="G323:G386" si="5">F323*0.15</f>
        <v>10127.4</v>
      </c>
      <c r="H323">
        <v>1</v>
      </c>
    </row>
    <row r="324" spans="1:8" x14ac:dyDescent="0.25">
      <c r="A324" s="1">
        <v>45523</v>
      </c>
      <c r="B324" t="s">
        <v>328</v>
      </c>
      <c r="C324" t="s">
        <v>6</v>
      </c>
      <c r="D324" t="s">
        <v>787</v>
      </c>
      <c r="E324" t="s">
        <v>778</v>
      </c>
      <c r="F324">
        <v>11919</v>
      </c>
      <c r="G324" s="2">
        <f t="shared" si="5"/>
        <v>1787.85</v>
      </c>
      <c r="H324">
        <v>4</v>
      </c>
    </row>
    <row r="325" spans="1:8" x14ac:dyDescent="0.25">
      <c r="A325" s="1">
        <v>45624</v>
      </c>
      <c r="B325" t="s">
        <v>329</v>
      </c>
      <c r="C325" t="s">
        <v>3</v>
      </c>
      <c r="D325" t="s">
        <v>786</v>
      </c>
      <c r="E325" t="s">
        <v>780</v>
      </c>
      <c r="F325">
        <v>77728</v>
      </c>
      <c r="G325" s="2">
        <f t="shared" si="5"/>
        <v>11659.199999999999</v>
      </c>
      <c r="H325">
        <v>5</v>
      </c>
    </row>
    <row r="326" spans="1:8" x14ac:dyDescent="0.25">
      <c r="A326" s="1">
        <v>45634</v>
      </c>
      <c r="B326" t="s">
        <v>330</v>
      </c>
      <c r="C326" t="s">
        <v>8</v>
      </c>
      <c r="D326" t="s">
        <v>788</v>
      </c>
      <c r="E326" t="s">
        <v>781</v>
      </c>
      <c r="F326">
        <v>70219</v>
      </c>
      <c r="G326" s="2">
        <f t="shared" si="5"/>
        <v>10532.85</v>
      </c>
      <c r="H326">
        <v>5</v>
      </c>
    </row>
    <row r="327" spans="1:8" x14ac:dyDescent="0.25">
      <c r="A327" s="1">
        <v>45465</v>
      </c>
      <c r="B327" t="s">
        <v>331</v>
      </c>
      <c r="C327" t="s">
        <v>8</v>
      </c>
      <c r="D327" t="s">
        <v>788</v>
      </c>
      <c r="E327" t="s">
        <v>780</v>
      </c>
      <c r="F327">
        <v>43739</v>
      </c>
      <c r="G327" s="2">
        <f t="shared" si="5"/>
        <v>6560.8499999999995</v>
      </c>
      <c r="H327">
        <v>5</v>
      </c>
    </row>
    <row r="328" spans="1:8" x14ac:dyDescent="0.25">
      <c r="A328" s="1">
        <v>45342</v>
      </c>
      <c r="B328" t="s">
        <v>332</v>
      </c>
      <c r="C328" t="s">
        <v>4</v>
      </c>
      <c r="D328" t="s">
        <v>786</v>
      </c>
      <c r="E328" t="s">
        <v>780</v>
      </c>
      <c r="F328">
        <v>21816</v>
      </c>
      <c r="G328" s="2">
        <f t="shared" si="5"/>
        <v>3272.4</v>
      </c>
      <c r="H328">
        <v>5</v>
      </c>
    </row>
    <row r="329" spans="1:8" x14ac:dyDescent="0.25">
      <c r="A329" s="1">
        <v>45590</v>
      </c>
      <c r="B329" t="s">
        <v>333</v>
      </c>
      <c r="C329" t="s">
        <v>6</v>
      </c>
      <c r="D329" t="s">
        <v>787</v>
      </c>
      <c r="E329" t="s">
        <v>781</v>
      </c>
      <c r="F329">
        <v>42886</v>
      </c>
      <c r="G329" s="2">
        <f t="shared" si="5"/>
        <v>6432.9</v>
      </c>
      <c r="H329">
        <v>5</v>
      </c>
    </row>
    <row r="330" spans="1:8" x14ac:dyDescent="0.25">
      <c r="A330" s="1">
        <v>45561</v>
      </c>
      <c r="B330" t="s">
        <v>334</v>
      </c>
      <c r="C330" t="s">
        <v>3</v>
      </c>
      <c r="D330" t="s">
        <v>786</v>
      </c>
      <c r="E330" t="s">
        <v>778</v>
      </c>
      <c r="F330">
        <v>56534</v>
      </c>
      <c r="G330" s="2">
        <f t="shared" si="5"/>
        <v>8480.1</v>
      </c>
      <c r="H330">
        <v>3</v>
      </c>
    </row>
    <row r="331" spans="1:8" x14ac:dyDescent="0.25">
      <c r="A331" s="1">
        <v>45312</v>
      </c>
      <c r="B331" t="s">
        <v>335</v>
      </c>
      <c r="C331" t="s">
        <v>8</v>
      </c>
      <c r="D331" t="s">
        <v>788</v>
      </c>
      <c r="E331" t="s">
        <v>781</v>
      </c>
      <c r="F331">
        <v>44487</v>
      </c>
      <c r="G331" s="2">
        <f t="shared" si="5"/>
        <v>6673.05</v>
      </c>
      <c r="H331">
        <v>5</v>
      </c>
    </row>
    <row r="332" spans="1:8" x14ac:dyDescent="0.25">
      <c r="A332" s="1">
        <v>45365</v>
      </c>
      <c r="B332" t="s">
        <v>336</v>
      </c>
      <c r="C332" t="s">
        <v>3</v>
      </c>
      <c r="D332" t="s">
        <v>786</v>
      </c>
      <c r="E332" t="s">
        <v>778</v>
      </c>
      <c r="F332">
        <v>22572</v>
      </c>
      <c r="G332" s="2">
        <f t="shared" si="5"/>
        <v>3385.7999999999997</v>
      </c>
      <c r="H332">
        <v>3</v>
      </c>
    </row>
    <row r="333" spans="1:8" x14ac:dyDescent="0.25">
      <c r="A333" s="1">
        <v>45448</v>
      </c>
      <c r="B333" t="s">
        <v>337</v>
      </c>
      <c r="C333" t="s">
        <v>4</v>
      </c>
      <c r="D333" t="s">
        <v>786</v>
      </c>
      <c r="E333" t="s">
        <v>778</v>
      </c>
      <c r="F333">
        <v>66559</v>
      </c>
      <c r="G333" s="2">
        <f t="shared" si="5"/>
        <v>9983.85</v>
      </c>
      <c r="H333">
        <v>2</v>
      </c>
    </row>
    <row r="334" spans="1:8" x14ac:dyDescent="0.25">
      <c r="A334" s="1">
        <v>45602</v>
      </c>
      <c r="B334" t="s">
        <v>338</v>
      </c>
      <c r="C334" t="s">
        <v>7</v>
      </c>
      <c r="D334" t="s">
        <v>788</v>
      </c>
      <c r="E334" t="s">
        <v>781</v>
      </c>
      <c r="F334">
        <v>39182</v>
      </c>
      <c r="G334" s="2">
        <f t="shared" si="5"/>
        <v>5877.3</v>
      </c>
      <c r="H334">
        <v>3</v>
      </c>
    </row>
    <row r="335" spans="1:8" x14ac:dyDescent="0.25">
      <c r="A335" s="1">
        <v>45559</v>
      </c>
      <c r="B335" t="s">
        <v>339</v>
      </c>
      <c r="C335" t="s">
        <v>7</v>
      </c>
      <c r="D335" t="s">
        <v>788</v>
      </c>
      <c r="E335" t="s">
        <v>780</v>
      </c>
      <c r="F335">
        <v>42271</v>
      </c>
      <c r="G335" s="2">
        <f t="shared" si="5"/>
        <v>6340.65</v>
      </c>
      <c r="H335">
        <v>1</v>
      </c>
    </row>
    <row r="336" spans="1:8" x14ac:dyDescent="0.25">
      <c r="A336" s="1">
        <v>45627</v>
      </c>
      <c r="B336" t="s">
        <v>340</v>
      </c>
      <c r="C336" t="s">
        <v>8</v>
      </c>
      <c r="D336" t="s">
        <v>788</v>
      </c>
      <c r="E336" t="s">
        <v>778</v>
      </c>
      <c r="F336">
        <v>55992</v>
      </c>
      <c r="G336" s="2">
        <f t="shared" si="5"/>
        <v>8398.7999999999993</v>
      </c>
      <c r="H336">
        <v>5</v>
      </c>
    </row>
    <row r="337" spans="1:8" x14ac:dyDescent="0.25">
      <c r="A337" s="1">
        <v>45579</v>
      </c>
      <c r="B337" t="s">
        <v>341</v>
      </c>
      <c r="C337" t="s">
        <v>6</v>
      </c>
      <c r="D337" t="s">
        <v>787</v>
      </c>
      <c r="E337" t="s">
        <v>781</v>
      </c>
      <c r="F337">
        <v>51783</v>
      </c>
      <c r="G337" s="2">
        <f t="shared" si="5"/>
        <v>7767.45</v>
      </c>
      <c r="H337">
        <v>2</v>
      </c>
    </row>
    <row r="338" spans="1:8" x14ac:dyDescent="0.25">
      <c r="A338" s="1">
        <v>45600</v>
      </c>
      <c r="B338" t="s">
        <v>342</v>
      </c>
      <c r="C338" t="s">
        <v>7</v>
      </c>
      <c r="D338" t="s">
        <v>788</v>
      </c>
      <c r="E338" t="s">
        <v>778</v>
      </c>
      <c r="F338">
        <v>64663</v>
      </c>
      <c r="G338" s="2">
        <f t="shared" si="5"/>
        <v>9699.4499999999989</v>
      </c>
      <c r="H338">
        <v>3</v>
      </c>
    </row>
    <row r="339" spans="1:8" x14ac:dyDescent="0.25">
      <c r="A339" s="1">
        <v>45425</v>
      </c>
      <c r="B339" t="s">
        <v>343</v>
      </c>
      <c r="C339" t="s">
        <v>6</v>
      </c>
      <c r="D339" t="s">
        <v>787</v>
      </c>
      <c r="E339" t="s">
        <v>780</v>
      </c>
      <c r="F339">
        <v>76467</v>
      </c>
      <c r="G339" s="2">
        <f t="shared" si="5"/>
        <v>11470.05</v>
      </c>
      <c r="H339">
        <v>4</v>
      </c>
    </row>
    <row r="340" spans="1:8" x14ac:dyDescent="0.25">
      <c r="A340" s="1">
        <v>45427</v>
      </c>
      <c r="B340" t="s">
        <v>344</v>
      </c>
      <c r="C340" t="s">
        <v>6</v>
      </c>
      <c r="D340" t="s">
        <v>787</v>
      </c>
      <c r="E340" t="s">
        <v>780</v>
      </c>
      <c r="F340">
        <v>33523</v>
      </c>
      <c r="G340" s="2">
        <f t="shared" si="5"/>
        <v>5028.45</v>
      </c>
      <c r="H340">
        <v>4</v>
      </c>
    </row>
    <row r="341" spans="1:8" x14ac:dyDescent="0.25">
      <c r="A341" s="1">
        <v>45310</v>
      </c>
      <c r="B341" t="s">
        <v>345</v>
      </c>
      <c r="C341" t="s">
        <v>5</v>
      </c>
      <c r="D341" t="s">
        <v>787</v>
      </c>
      <c r="E341" t="s">
        <v>781</v>
      </c>
      <c r="F341">
        <v>51993</v>
      </c>
      <c r="G341" s="2">
        <f t="shared" si="5"/>
        <v>7798.95</v>
      </c>
      <c r="H341">
        <v>1</v>
      </c>
    </row>
    <row r="342" spans="1:8" x14ac:dyDescent="0.25">
      <c r="A342" s="1">
        <v>45605</v>
      </c>
      <c r="B342" t="s">
        <v>346</v>
      </c>
      <c r="C342" t="s">
        <v>3</v>
      </c>
      <c r="D342" t="s">
        <v>786</v>
      </c>
      <c r="E342" t="s">
        <v>779</v>
      </c>
      <c r="F342">
        <v>15784</v>
      </c>
      <c r="G342" s="2">
        <f t="shared" si="5"/>
        <v>2367.6</v>
      </c>
      <c r="H342">
        <v>4</v>
      </c>
    </row>
    <row r="343" spans="1:8" x14ac:dyDescent="0.25">
      <c r="A343" s="1">
        <v>45495</v>
      </c>
      <c r="B343" t="s">
        <v>347</v>
      </c>
      <c r="C343" t="s">
        <v>7</v>
      </c>
      <c r="D343" t="s">
        <v>788</v>
      </c>
      <c r="E343" t="s">
        <v>778</v>
      </c>
      <c r="F343">
        <v>19314</v>
      </c>
      <c r="G343" s="2">
        <f t="shared" si="5"/>
        <v>2897.1</v>
      </c>
      <c r="H343">
        <v>3</v>
      </c>
    </row>
    <row r="344" spans="1:8" x14ac:dyDescent="0.25">
      <c r="A344" s="1">
        <v>45296</v>
      </c>
      <c r="B344" t="s">
        <v>348</v>
      </c>
      <c r="C344" t="s">
        <v>7</v>
      </c>
      <c r="D344" t="s">
        <v>788</v>
      </c>
      <c r="E344" t="s">
        <v>781</v>
      </c>
      <c r="F344">
        <v>43512</v>
      </c>
      <c r="G344" s="2">
        <f t="shared" si="5"/>
        <v>6526.8</v>
      </c>
      <c r="H344">
        <v>5</v>
      </c>
    </row>
    <row r="345" spans="1:8" x14ac:dyDescent="0.25">
      <c r="A345" s="1">
        <v>45348</v>
      </c>
      <c r="B345" t="s">
        <v>349</v>
      </c>
      <c r="C345" t="s">
        <v>7</v>
      </c>
      <c r="D345" t="s">
        <v>788</v>
      </c>
      <c r="E345" t="s">
        <v>779</v>
      </c>
      <c r="F345">
        <v>64326</v>
      </c>
      <c r="G345" s="2">
        <f t="shared" si="5"/>
        <v>9648.9</v>
      </c>
      <c r="H345">
        <v>3</v>
      </c>
    </row>
    <row r="346" spans="1:8" x14ac:dyDescent="0.25">
      <c r="A346" s="1">
        <v>45641</v>
      </c>
      <c r="B346" t="s">
        <v>350</v>
      </c>
      <c r="C346" t="s">
        <v>3</v>
      </c>
      <c r="D346" t="s">
        <v>786</v>
      </c>
      <c r="E346" t="s">
        <v>780</v>
      </c>
      <c r="F346">
        <v>79689</v>
      </c>
      <c r="G346" s="2">
        <f t="shared" si="5"/>
        <v>11953.35</v>
      </c>
      <c r="H346">
        <v>3</v>
      </c>
    </row>
    <row r="347" spans="1:8" x14ac:dyDescent="0.25">
      <c r="A347" s="1">
        <v>45430</v>
      </c>
      <c r="B347" t="s">
        <v>351</v>
      </c>
      <c r="C347" t="s">
        <v>8</v>
      </c>
      <c r="D347" t="s">
        <v>788</v>
      </c>
      <c r="E347" t="s">
        <v>781</v>
      </c>
      <c r="F347">
        <v>31422</v>
      </c>
      <c r="G347" s="2">
        <f t="shared" si="5"/>
        <v>4713.3</v>
      </c>
      <c r="H347">
        <v>2</v>
      </c>
    </row>
    <row r="348" spans="1:8" x14ac:dyDescent="0.25">
      <c r="A348" s="1">
        <v>45302</v>
      </c>
      <c r="B348" t="s">
        <v>352</v>
      </c>
      <c r="C348" t="s">
        <v>7</v>
      </c>
      <c r="D348" t="s">
        <v>788</v>
      </c>
      <c r="E348" t="s">
        <v>779</v>
      </c>
      <c r="F348">
        <v>15198</v>
      </c>
      <c r="G348" s="2">
        <f t="shared" si="5"/>
        <v>2279.6999999999998</v>
      </c>
      <c r="H348">
        <v>1</v>
      </c>
    </row>
    <row r="349" spans="1:8" x14ac:dyDescent="0.25">
      <c r="A349" s="1">
        <v>45609</v>
      </c>
      <c r="B349" t="s">
        <v>353</v>
      </c>
      <c r="C349" t="s">
        <v>3</v>
      </c>
      <c r="D349" t="s">
        <v>786</v>
      </c>
      <c r="E349" t="s">
        <v>779</v>
      </c>
      <c r="F349">
        <v>5690</v>
      </c>
      <c r="G349" s="2">
        <f t="shared" si="5"/>
        <v>853.5</v>
      </c>
      <c r="H349">
        <v>1</v>
      </c>
    </row>
    <row r="350" spans="1:8" x14ac:dyDescent="0.25">
      <c r="A350" s="1">
        <v>45627</v>
      </c>
      <c r="B350" t="s">
        <v>354</v>
      </c>
      <c r="C350" t="s">
        <v>7</v>
      </c>
      <c r="D350" t="s">
        <v>788</v>
      </c>
      <c r="E350" t="s">
        <v>780</v>
      </c>
      <c r="F350">
        <v>59825</v>
      </c>
      <c r="G350" s="2">
        <f t="shared" si="5"/>
        <v>8973.75</v>
      </c>
      <c r="H350">
        <v>5</v>
      </c>
    </row>
    <row r="351" spans="1:8" x14ac:dyDescent="0.25">
      <c r="A351" s="1">
        <v>45467</v>
      </c>
      <c r="B351" t="s">
        <v>355</v>
      </c>
      <c r="C351" t="s">
        <v>6</v>
      </c>
      <c r="D351" t="s">
        <v>787</v>
      </c>
      <c r="E351" t="s">
        <v>778</v>
      </c>
      <c r="F351">
        <v>51778</v>
      </c>
      <c r="G351" s="2">
        <f t="shared" si="5"/>
        <v>7766.7</v>
      </c>
      <c r="H351">
        <v>3</v>
      </c>
    </row>
    <row r="352" spans="1:8" x14ac:dyDescent="0.25">
      <c r="A352" s="1">
        <v>45292</v>
      </c>
      <c r="B352" t="s">
        <v>356</v>
      </c>
      <c r="C352" t="s">
        <v>8</v>
      </c>
      <c r="D352" t="s">
        <v>788</v>
      </c>
      <c r="E352" t="s">
        <v>781</v>
      </c>
      <c r="F352">
        <v>40420</v>
      </c>
      <c r="G352" s="2">
        <f t="shared" si="5"/>
        <v>6063</v>
      </c>
      <c r="H352">
        <v>1</v>
      </c>
    </row>
    <row r="353" spans="1:8" x14ac:dyDescent="0.25">
      <c r="A353" s="1">
        <v>45475</v>
      </c>
      <c r="B353" t="s">
        <v>357</v>
      </c>
      <c r="C353" t="s">
        <v>5</v>
      </c>
      <c r="D353" t="s">
        <v>787</v>
      </c>
      <c r="E353" t="s">
        <v>780</v>
      </c>
      <c r="F353">
        <v>32349</v>
      </c>
      <c r="G353" s="2">
        <f t="shared" si="5"/>
        <v>4852.3499999999995</v>
      </c>
      <c r="H353">
        <v>2</v>
      </c>
    </row>
    <row r="354" spans="1:8" x14ac:dyDescent="0.25">
      <c r="A354" s="1">
        <v>45450</v>
      </c>
      <c r="B354" t="s">
        <v>358</v>
      </c>
      <c r="C354" t="s">
        <v>5</v>
      </c>
      <c r="D354" t="s">
        <v>787</v>
      </c>
      <c r="E354" t="s">
        <v>780</v>
      </c>
      <c r="F354">
        <v>15673</v>
      </c>
      <c r="G354" s="2">
        <f t="shared" si="5"/>
        <v>2350.9499999999998</v>
      </c>
      <c r="H354">
        <v>4</v>
      </c>
    </row>
    <row r="355" spans="1:8" x14ac:dyDescent="0.25">
      <c r="A355" s="1">
        <v>45389</v>
      </c>
      <c r="B355" t="s">
        <v>359</v>
      </c>
      <c r="C355" t="s">
        <v>6</v>
      </c>
      <c r="D355" t="s">
        <v>787</v>
      </c>
      <c r="E355" t="s">
        <v>781</v>
      </c>
      <c r="F355">
        <v>43317</v>
      </c>
      <c r="G355" s="2">
        <f t="shared" si="5"/>
        <v>6497.55</v>
      </c>
      <c r="H355">
        <v>2</v>
      </c>
    </row>
    <row r="356" spans="1:8" x14ac:dyDescent="0.25">
      <c r="A356" s="1">
        <v>45501</v>
      </c>
      <c r="B356" t="s">
        <v>53</v>
      </c>
      <c r="C356" t="s">
        <v>6</v>
      </c>
      <c r="D356" t="s">
        <v>787</v>
      </c>
      <c r="E356" t="s">
        <v>778</v>
      </c>
      <c r="F356">
        <v>78613</v>
      </c>
      <c r="G356" s="2">
        <f t="shared" si="5"/>
        <v>11791.949999999999</v>
      </c>
      <c r="H356">
        <v>4</v>
      </c>
    </row>
    <row r="357" spans="1:8" x14ac:dyDescent="0.25">
      <c r="A357" s="1">
        <v>45483</v>
      </c>
      <c r="B357" t="s">
        <v>360</v>
      </c>
      <c r="C357" t="s">
        <v>3</v>
      </c>
      <c r="D357" t="s">
        <v>786</v>
      </c>
      <c r="E357" t="s">
        <v>781</v>
      </c>
      <c r="F357">
        <v>6916</v>
      </c>
      <c r="G357" s="2">
        <f t="shared" si="5"/>
        <v>1037.3999999999999</v>
      </c>
      <c r="H357">
        <v>2</v>
      </c>
    </row>
    <row r="358" spans="1:8" x14ac:dyDescent="0.25">
      <c r="A358" s="1">
        <v>45637</v>
      </c>
      <c r="B358" t="s">
        <v>361</v>
      </c>
      <c r="C358" t="s">
        <v>8</v>
      </c>
      <c r="D358" t="s">
        <v>788</v>
      </c>
      <c r="E358" t="s">
        <v>780</v>
      </c>
      <c r="F358">
        <v>3325</v>
      </c>
      <c r="G358" s="2">
        <f t="shared" si="5"/>
        <v>498.75</v>
      </c>
      <c r="H358">
        <v>5</v>
      </c>
    </row>
    <row r="359" spans="1:8" x14ac:dyDescent="0.25">
      <c r="A359" s="1">
        <v>45337</v>
      </c>
      <c r="B359" t="s">
        <v>362</v>
      </c>
      <c r="C359" t="s">
        <v>4</v>
      </c>
      <c r="D359" t="s">
        <v>786</v>
      </c>
      <c r="E359" t="s">
        <v>779</v>
      </c>
      <c r="F359">
        <v>47020</v>
      </c>
      <c r="G359" s="2">
        <f t="shared" si="5"/>
        <v>7053</v>
      </c>
      <c r="H359">
        <v>1</v>
      </c>
    </row>
    <row r="360" spans="1:8" x14ac:dyDescent="0.25">
      <c r="A360" s="1">
        <v>45303</v>
      </c>
      <c r="B360" t="s">
        <v>363</v>
      </c>
      <c r="C360" t="s">
        <v>8</v>
      </c>
      <c r="D360" t="s">
        <v>788</v>
      </c>
      <c r="E360" t="s">
        <v>779</v>
      </c>
      <c r="F360">
        <v>78827</v>
      </c>
      <c r="G360" s="2">
        <f t="shared" si="5"/>
        <v>11824.05</v>
      </c>
      <c r="H360">
        <v>3</v>
      </c>
    </row>
    <row r="361" spans="1:8" x14ac:dyDescent="0.25">
      <c r="A361" s="1">
        <v>45591</v>
      </c>
      <c r="B361" t="s">
        <v>364</v>
      </c>
      <c r="C361" t="s">
        <v>3</v>
      </c>
      <c r="D361" t="s">
        <v>786</v>
      </c>
      <c r="E361" t="s">
        <v>778</v>
      </c>
      <c r="F361">
        <v>43937</v>
      </c>
      <c r="G361" s="2">
        <f t="shared" si="5"/>
        <v>6590.55</v>
      </c>
      <c r="H361">
        <v>2</v>
      </c>
    </row>
    <row r="362" spans="1:8" x14ac:dyDescent="0.25">
      <c r="A362" s="1">
        <v>45308</v>
      </c>
      <c r="B362" t="s">
        <v>365</v>
      </c>
      <c r="C362" t="s">
        <v>5</v>
      </c>
      <c r="D362" t="s">
        <v>787</v>
      </c>
      <c r="E362" t="s">
        <v>781</v>
      </c>
      <c r="F362">
        <v>67293</v>
      </c>
      <c r="G362" s="2">
        <f t="shared" si="5"/>
        <v>10093.949999999999</v>
      </c>
      <c r="H362">
        <v>2</v>
      </c>
    </row>
    <row r="363" spans="1:8" x14ac:dyDescent="0.25">
      <c r="A363" s="1">
        <v>45650</v>
      </c>
      <c r="B363" t="s">
        <v>366</v>
      </c>
      <c r="C363" t="s">
        <v>4</v>
      </c>
      <c r="D363" t="s">
        <v>786</v>
      </c>
      <c r="E363" t="s">
        <v>779</v>
      </c>
      <c r="F363">
        <v>64390</v>
      </c>
      <c r="G363" s="2">
        <f t="shared" si="5"/>
        <v>9658.5</v>
      </c>
      <c r="H363">
        <v>4</v>
      </c>
    </row>
    <row r="364" spans="1:8" x14ac:dyDescent="0.25">
      <c r="A364" s="1">
        <v>45478</v>
      </c>
      <c r="B364" t="s">
        <v>367</v>
      </c>
      <c r="C364" t="s">
        <v>7</v>
      </c>
      <c r="D364" t="s">
        <v>788</v>
      </c>
      <c r="E364" t="s">
        <v>779</v>
      </c>
      <c r="F364">
        <v>71613</v>
      </c>
      <c r="G364" s="2">
        <f t="shared" si="5"/>
        <v>10741.949999999999</v>
      </c>
      <c r="H364">
        <v>2</v>
      </c>
    </row>
    <row r="365" spans="1:8" x14ac:dyDescent="0.25">
      <c r="A365" s="1">
        <v>45505</v>
      </c>
      <c r="B365" t="s">
        <v>368</v>
      </c>
      <c r="C365" t="s">
        <v>8</v>
      </c>
      <c r="D365" t="s">
        <v>788</v>
      </c>
      <c r="E365" t="s">
        <v>780</v>
      </c>
      <c r="F365">
        <v>52924</v>
      </c>
      <c r="G365" s="2">
        <f t="shared" si="5"/>
        <v>7938.5999999999995</v>
      </c>
      <c r="H365">
        <v>1</v>
      </c>
    </row>
    <row r="366" spans="1:8" x14ac:dyDescent="0.25">
      <c r="A366" s="1">
        <v>45335</v>
      </c>
      <c r="B366" t="s">
        <v>369</v>
      </c>
      <c r="C366" t="s">
        <v>3</v>
      </c>
      <c r="D366" t="s">
        <v>786</v>
      </c>
      <c r="E366" t="s">
        <v>780</v>
      </c>
      <c r="F366">
        <v>13976</v>
      </c>
      <c r="G366" s="2">
        <f t="shared" si="5"/>
        <v>2096.4</v>
      </c>
      <c r="H366">
        <v>1</v>
      </c>
    </row>
    <row r="367" spans="1:8" x14ac:dyDescent="0.25">
      <c r="A367" s="1">
        <v>45464</v>
      </c>
      <c r="B367" t="s">
        <v>370</v>
      </c>
      <c r="C367" t="s">
        <v>8</v>
      </c>
      <c r="D367" t="s">
        <v>788</v>
      </c>
      <c r="E367" t="s">
        <v>778</v>
      </c>
      <c r="F367">
        <v>8459</v>
      </c>
      <c r="G367" s="2">
        <f t="shared" si="5"/>
        <v>1268.8499999999999</v>
      </c>
      <c r="H367">
        <v>4</v>
      </c>
    </row>
    <row r="368" spans="1:8" x14ac:dyDescent="0.25">
      <c r="A368" s="1">
        <v>45619</v>
      </c>
      <c r="B368" t="s">
        <v>371</v>
      </c>
      <c r="C368" t="s">
        <v>7</v>
      </c>
      <c r="D368" t="s">
        <v>788</v>
      </c>
      <c r="E368" t="s">
        <v>780</v>
      </c>
      <c r="F368">
        <v>65531</v>
      </c>
      <c r="G368" s="2">
        <f t="shared" si="5"/>
        <v>9829.65</v>
      </c>
      <c r="H368">
        <v>4</v>
      </c>
    </row>
    <row r="369" spans="1:8" x14ac:dyDescent="0.25">
      <c r="A369" s="1">
        <v>45579</v>
      </c>
      <c r="B369" t="s">
        <v>372</v>
      </c>
      <c r="C369" t="s">
        <v>4</v>
      </c>
      <c r="D369" t="s">
        <v>786</v>
      </c>
      <c r="E369" t="s">
        <v>778</v>
      </c>
      <c r="F369">
        <v>45427</v>
      </c>
      <c r="G369" s="2">
        <f t="shared" si="5"/>
        <v>6814.05</v>
      </c>
      <c r="H369">
        <v>4</v>
      </c>
    </row>
    <row r="370" spans="1:8" x14ac:dyDescent="0.25">
      <c r="A370" s="1">
        <v>45654</v>
      </c>
      <c r="B370" t="s">
        <v>373</v>
      </c>
      <c r="C370" t="s">
        <v>4</v>
      </c>
      <c r="D370" t="s">
        <v>786</v>
      </c>
      <c r="E370" t="s">
        <v>780</v>
      </c>
      <c r="F370">
        <v>60452</v>
      </c>
      <c r="G370" s="2">
        <f t="shared" si="5"/>
        <v>9067.7999999999993</v>
      </c>
      <c r="H370">
        <v>5</v>
      </c>
    </row>
    <row r="371" spans="1:8" x14ac:dyDescent="0.25">
      <c r="A371" s="1">
        <v>45545</v>
      </c>
      <c r="B371" t="s">
        <v>374</v>
      </c>
      <c r="C371" t="s">
        <v>3</v>
      </c>
      <c r="D371" t="s">
        <v>786</v>
      </c>
      <c r="E371" t="s">
        <v>778</v>
      </c>
      <c r="F371">
        <v>49930</v>
      </c>
      <c r="G371" s="2">
        <f t="shared" si="5"/>
        <v>7489.5</v>
      </c>
      <c r="H371">
        <v>4</v>
      </c>
    </row>
    <row r="372" spans="1:8" x14ac:dyDescent="0.25">
      <c r="A372" s="1">
        <v>45583</v>
      </c>
      <c r="B372" t="s">
        <v>278</v>
      </c>
      <c r="C372" t="s">
        <v>8</v>
      </c>
      <c r="D372" t="s">
        <v>788</v>
      </c>
      <c r="E372" t="s">
        <v>778</v>
      </c>
      <c r="F372">
        <v>25728</v>
      </c>
      <c r="G372" s="2">
        <f t="shared" si="5"/>
        <v>3859.2</v>
      </c>
      <c r="H372">
        <v>3</v>
      </c>
    </row>
    <row r="373" spans="1:8" x14ac:dyDescent="0.25">
      <c r="A373" s="1">
        <v>45615</v>
      </c>
      <c r="B373" t="s">
        <v>375</v>
      </c>
      <c r="C373" t="s">
        <v>6</v>
      </c>
      <c r="D373" t="s">
        <v>787</v>
      </c>
      <c r="E373" t="s">
        <v>780</v>
      </c>
      <c r="F373">
        <v>20612</v>
      </c>
      <c r="G373" s="2">
        <f t="shared" si="5"/>
        <v>3091.7999999999997</v>
      </c>
      <c r="H373">
        <v>1</v>
      </c>
    </row>
    <row r="374" spans="1:8" x14ac:dyDescent="0.25">
      <c r="A374" s="1">
        <v>45645</v>
      </c>
      <c r="B374" t="s">
        <v>376</v>
      </c>
      <c r="C374" t="s">
        <v>5</v>
      </c>
      <c r="D374" t="s">
        <v>787</v>
      </c>
      <c r="E374" t="s">
        <v>778</v>
      </c>
      <c r="F374">
        <v>41635</v>
      </c>
      <c r="G374" s="2">
        <f t="shared" si="5"/>
        <v>6245.25</v>
      </c>
      <c r="H374">
        <v>2</v>
      </c>
    </row>
    <row r="375" spans="1:8" x14ac:dyDescent="0.25">
      <c r="A375" s="1">
        <v>45336</v>
      </c>
      <c r="B375" t="s">
        <v>377</v>
      </c>
      <c r="C375" t="s">
        <v>5</v>
      </c>
      <c r="D375" t="s">
        <v>787</v>
      </c>
      <c r="E375" t="s">
        <v>778</v>
      </c>
      <c r="F375">
        <v>53287</v>
      </c>
      <c r="G375" s="2">
        <f t="shared" si="5"/>
        <v>7993.0499999999993</v>
      </c>
      <c r="H375">
        <v>4</v>
      </c>
    </row>
    <row r="376" spans="1:8" x14ac:dyDescent="0.25">
      <c r="A376" s="1">
        <v>45469</v>
      </c>
      <c r="B376" t="s">
        <v>378</v>
      </c>
      <c r="C376" t="s">
        <v>6</v>
      </c>
      <c r="D376" t="s">
        <v>787</v>
      </c>
      <c r="E376" t="s">
        <v>779</v>
      </c>
      <c r="F376">
        <v>68311</v>
      </c>
      <c r="G376" s="2">
        <f t="shared" si="5"/>
        <v>10246.65</v>
      </c>
      <c r="H376">
        <v>4</v>
      </c>
    </row>
    <row r="377" spans="1:8" x14ac:dyDescent="0.25">
      <c r="A377" s="1">
        <v>45593</v>
      </c>
      <c r="B377" t="s">
        <v>379</v>
      </c>
      <c r="C377" t="s">
        <v>3</v>
      </c>
      <c r="D377" t="s">
        <v>786</v>
      </c>
      <c r="E377" t="s">
        <v>781</v>
      </c>
      <c r="F377">
        <v>43137</v>
      </c>
      <c r="G377" s="2">
        <f t="shared" si="5"/>
        <v>6470.55</v>
      </c>
      <c r="H377">
        <v>3</v>
      </c>
    </row>
    <row r="378" spans="1:8" x14ac:dyDescent="0.25">
      <c r="A378" s="1">
        <v>45395</v>
      </c>
      <c r="B378" t="s">
        <v>380</v>
      </c>
      <c r="C378" t="s">
        <v>5</v>
      </c>
      <c r="D378" t="s">
        <v>787</v>
      </c>
      <c r="E378" t="s">
        <v>780</v>
      </c>
      <c r="F378">
        <v>47389</v>
      </c>
      <c r="G378" s="2">
        <f t="shared" si="5"/>
        <v>7108.3499999999995</v>
      </c>
      <c r="H378">
        <v>2</v>
      </c>
    </row>
    <row r="379" spans="1:8" x14ac:dyDescent="0.25">
      <c r="A379" s="1">
        <v>45524</v>
      </c>
      <c r="B379" t="s">
        <v>381</v>
      </c>
      <c r="C379" t="s">
        <v>3</v>
      </c>
      <c r="D379" t="s">
        <v>786</v>
      </c>
      <c r="E379" t="s">
        <v>779</v>
      </c>
      <c r="F379">
        <v>62829</v>
      </c>
      <c r="G379" s="2">
        <f t="shared" si="5"/>
        <v>9424.35</v>
      </c>
      <c r="H379">
        <v>1</v>
      </c>
    </row>
    <row r="380" spans="1:8" x14ac:dyDescent="0.25">
      <c r="A380" s="1">
        <v>45329</v>
      </c>
      <c r="B380" t="s">
        <v>382</v>
      </c>
      <c r="C380" t="s">
        <v>4</v>
      </c>
      <c r="D380" t="s">
        <v>786</v>
      </c>
      <c r="E380" t="s">
        <v>780</v>
      </c>
      <c r="F380">
        <v>5305</v>
      </c>
      <c r="G380" s="2">
        <f t="shared" si="5"/>
        <v>795.75</v>
      </c>
      <c r="H380">
        <v>1</v>
      </c>
    </row>
    <row r="381" spans="1:8" x14ac:dyDescent="0.25">
      <c r="A381" s="1">
        <v>45523</v>
      </c>
      <c r="B381" t="s">
        <v>383</v>
      </c>
      <c r="C381" t="s">
        <v>8</v>
      </c>
      <c r="D381" t="s">
        <v>788</v>
      </c>
      <c r="E381" t="s">
        <v>778</v>
      </c>
      <c r="F381">
        <v>37155</v>
      </c>
      <c r="G381" s="2">
        <f t="shared" si="5"/>
        <v>5573.25</v>
      </c>
      <c r="H381">
        <v>4</v>
      </c>
    </row>
    <row r="382" spans="1:8" x14ac:dyDescent="0.25">
      <c r="A382" s="1">
        <v>45483</v>
      </c>
      <c r="B382" t="s">
        <v>384</v>
      </c>
      <c r="C382" t="s">
        <v>4</v>
      </c>
      <c r="D382" t="s">
        <v>786</v>
      </c>
      <c r="E382" t="s">
        <v>778</v>
      </c>
      <c r="F382">
        <v>66664</v>
      </c>
      <c r="G382" s="2">
        <f t="shared" si="5"/>
        <v>9999.6</v>
      </c>
      <c r="H382">
        <v>2</v>
      </c>
    </row>
    <row r="383" spans="1:8" x14ac:dyDescent="0.25">
      <c r="A383" s="1">
        <v>45545</v>
      </c>
      <c r="B383" t="s">
        <v>385</v>
      </c>
      <c r="C383" t="s">
        <v>3</v>
      </c>
      <c r="D383" t="s">
        <v>786</v>
      </c>
      <c r="E383" t="s">
        <v>781</v>
      </c>
      <c r="F383">
        <v>43149</v>
      </c>
      <c r="G383" s="2">
        <f t="shared" si="5"/>
        <v>6472.3499999999995</v>
      </c>
      <c r="H383">
        <v>5</v>
      </c>
    </row>
    <row r="384" spans="1:8" x14ac:dyDescent="0.25">
      <c r="A384" s="1">
        <v>45457</v>
      </c>
      <c r="B384" t="s">
        <v>386</v>
      </c>
      <c r="C384" t="s">
        <v>7</v>
      </c>
      <c r="D384" t="s">
        <v>788</v>
      </c>
      <c r="E384" t="s">
        <v>780</v>
      </c>
      <c r="F384">
        <v>18305</v>
      </c>
      <c r="G384" s="2">
        <f t="shared" si="5"/>
        <v>2745.75</v>
      </c>
      <c r="H384">
        <v>3</v>
      </c>
    </row>
    <row r="385" spans="1:8" x14ac:dyDescent="0.25">
      <c r="A385" s="1">
        <v>45482</v>
      </c>
      <c r="B385" t="s">
        <v>387</v>
      </c>
      <c r="C385" t="s">
        <v>4</v>
      </c>
      <c r="D385" t="s">
        <v>786</v>
      </c>
      <c r="E385" t="s">
        <v>781</v>
      </c>
      <c r="F385">
        <v>52402</v>
      </c>
      <c r="G385" s="2">
        <f t="shared" si="5"/>
        <v>7860.2999999999993</v>
      </c>
      <c r="H385">
        <v>4</v>
      </c>
    </row>
    <row r="386" spans="1:8" x14ac:dyDescent="0.25">
      <c r="A386" s="1">
        <v>45526</v>
      </c>
      <c r="B386" t="s">
        <v>388</v>
      </c>
      <c r="C386" t="s">
        <v>5</v>
      </c>
      <c r="D386" t="s">
        <v>787</v>
      </c>
      <c r="E386" t="s">
        <v>779</v>
      </c>
      <c r="F386">
        <v>61181</v>
      </c>
      <c r="G386" s="2">
        <f t="shared" si="5"/>
        <v>9177.15</v>
      </c>
      <c r="H386">
        <v>1</v>
      </c>
    </row>
    <row r="387" spans="1:8" x14ac:dyDescent="0.25">
      <c r="A387" s="1">
        <v>45588</v>
      </c>
      <c r="B387" t="s">
        <v>389</v>
      </c>
      <c r="C387" t="s">
        <v>6</v>
      </c>
      <c r="D387" t="s">
        <v>787</v>
      </c>
      <c r="E387" t="s">
        <v>781</v>
      </c>
      <c r="F387">
        <v>65050</v>
      </c>
      <c r="G387" s="2">
        <f t="shared" ref="G387:G450" si="6">F387*0.15</f>
        <v>9757.5</v>
      </c>
      <c r="H387">
        <v>1</v>
      </c>
    </row>
    <row r="388" spans="1:8" x14ac:dyDescent="0.25">
      <c r="A388" s="1">
        <v>45566</v>
      </c>
      <c r="B388" t="s">
        <v>390</v>
      </c>
      <c r="C388" t="s">
        <v>8</v>
      </c>
      <c r="D388" t="s">
        <v>788</v>
      </c>
      <c r="E388" t="s">
        <v>778</v>
      </c>
      <c r="F388">
        <v>75209</v>
      </c>
      <c r="G388" s="2">
        <f t="shared" si="6"/>
        <v>11281.35</v>
      </c>
      <c r="H388">
        <v>4</v>
      </c>
    </row>
    <row r="389" spans="1:8" x14ac:dyDescent="0.25">
      <c r="A389" s="1">
        <v>45639</v>
      </c>
      <c r="B389" t="s">
        <v>391</v>
      </c>
      <c r="C389" t="s">
        <v>6</v>
      </c>
      <c r="D389" t="s">
        <v>787</v>
      </c>
      <c r="E389" t="s">
        <v>779</v>
      </c>
      <c r="F389">
        <v>75015</v>
      </c>
      <c r="G389" s="2">
        <f t="shared" si="6"/>
        <v>11252.25</v>
      </c>
      <c r="H389">
        <v>4</v>
      </c>
    </row>
    <row r="390" spans="1:8" x14ac:dyDescent="0.25">
      <c r="A390" s="1">
        <v>45343</v>
      </c>
      <c r="B390" t="s">
        <v>226</v>
      </c>
      <c r="C390" t="s">
        <v>5</v>
      </c>
      <c r="D390" t="s">
        <v>787</v>
      </c>
      <c r="E390" t="s">
        <v>779</v>
      </c>
      <c r="F390">
        <v>59645</v>
      </c>
      <c r="G390" s="2">
        <f t="shared" si="6"/>
        <v>8946.75</v>
      </c>
      <c r="H390">
        <v>5</v>
      </c>
    </row>
    <row r="391" spans="1:8" x14ac:dyDescent="0.25">
      <c r="A391" s="1">
        <v>45590</v>
      </c>
      <c r="B391" t="s">
        <v>392</v>
      </c>
      <c r="C391" t="s">
        <v>7</v>
      </c>
      <c r="D391" t="s">
        <v>788</v>
      </c>
      <c r="E391" t="s">
        <v>781</v>
      </c>
      <c r="F391">
        <v>11227</v>
      </c>
      <c r="G391" s="2">
        <f t="shared" si="6"/>
        <v>1684.05</v>
      </c>
      <c r="H391">
        <v>4</v>
      </c>
    </row>
    <row r="392" spans="1:8" x14ac:dyDescent="0.25">
      <c r="A392" s="1">
        <v>45620</v>
      </c>
      <c r="B392" t="s">
        <v>42</v>
      </c>
      <c r="C392" t="s">
        <v>6</v>
      </c>
      <c r="D392" t="s">
        <v>787</v>
      </c>
      <c r="E392" t="s">
        <v>778</v>
      </c>
      <c r="F392">
        <v>43568</v>
      </c>
      <c r="G392" s="2">
        <f t="shared" si="6"/>
        <v>6535.2</v>
      </c>
      <c r="H392">
        <v>3</v>
      </c>
    </row>
    <row r="393" spans="1:8" x14ac:dyDescent="0.25">
      <c r="A393" s="1">
        <v>45301</v>
      </c>
      <c r="B393" t="s">
        <v>393</v>
      </c>
      <c r="C393" t="s">
        <v>4</v>
      </c>
      <c r="D393" t="s">
        <v>786</v>
      </c>
      <c r="E393" t="s">
        <v>779</v>
      </c>
      <c r="F393">
        <v>70772</v>
      </c>
      <c r="G393" s="2">
        <f t="shared" si="6"/>
        <v>10615.8</v>
      </c>
      <c r="H393">
        <v>4</v>
      </c>
    </row>
    <row r="394" spans="1:8" x14ac:dyDescent="0.25">
      <c r="A394" s="1">
        <v>45397</v>
      </c>
      <c r="B394" t="s">
        <v>394</v>
      </c>
      <c r="C394" t="s">
        <v>8</v>
      </c>
      <c r="D394" t="s">
        <v>788</v>
      </c>
      <c r="E394" t="s">
        <v>781</v>
      </c>
      <c r="F394">
        <v>68624</v>
      </c>
      <c r="G394" s="2">
        <f t="shared" si="6"/>
        <v>10293.6</v>
      </c>
      <c r="H394">
        <v>1</v>
      </c>
    </row>
    <row r="395" spans="1:8" x14ac:dyDescent="0.25">
      <c r="A395" s="1">
        <v>45387</v>
      </c>
      <c r="B395" t="s">
        <v>395</v>
      </c>
      <c r="C395" t="s">
        <v>7</v>
      </c>
      <c r="D395" t="s">
        <v>788</v>
      </c>
      <c r="E395" t="s">
        <v>779</v>
      </c>
      <c r="F395">
        <v>38310</v>
      </c>
      <c r="G395" s="2">
        <f t="shared" si="6"/>
        <v>5746.5</v>
      </c>
      <c r="H395">
        <v>5</v>
      </c>
    </row>
    <row r="396" spans="1:8" x14ac:dyDescent="0.25">
      <c r="A396" s="1">
        <v>45373</v>
      </c>
      <c r="B396" t="s">
        <v>396</v>
      </c>
      <c r="C396" t="s">
        <v>4</v>
      </c>
      <c r="D396" t="s">
        <v>786</v>
      </c>
      <c r="E396" t="s">
        <v>779</v>
      </c>
      <c r="F396">
        <v>64738</v>
      </c>
      <c r="G396" s="2">
        <f t="shared" si="6"/>
        <v>9710.6999999999989</v>
      </c>
      <c r="H396">
        <v>4</v>
      </c>
    </row>
    <row r="397" spans="1:8" x14ac:dyDescent="0.25">
      <c r="A397" s="1">
        <v>45483</v>
      </c>
      <c r="B397" t="s">
        <v>397</v>
      </c>
      <c r="C397" t="s">
        <v>6</v>
      </c>
      <c r="D397" t="s">
        <v>787</v>
      </c>
      <c r="E397" t="s">
        <v>778</v>
      </c>
      <c r="F397">
        <v>49915</v>
      </c>
      <c r="G397" s="2">
        <f t="shared" si="6"/>
        <v>7487.25</v>
      </c>
      <c r="H397">
        <v>4</v>
      </c>
    </row>
    <row r="398" spans="1:8" x14ac:dyDescent="0.25">
      <c r="A398" s="1">
        <v>45489</v>
      </c>
      <c r="B398" t="s">
        <v>398</v>
      </c>
      <c r="C398" t="s">
        <v>5</v>
      </c>
      <c r="D398" t="s">
        <v>787</v>
      </c>
      <c r="E398" t="s">
        <v>781</v>
      </c>
      <c r="F398">
        <v>64758</v>
      </c>
      <c r="G398" s="2">
        <f t="shared" si="6"/>
        <v>9713.6999999999989</v>
      </c>
      <c r="H398">
        <v>4</v>
      </c>
    </row>
    <row r="399" spans="1:8" x14ac:dyDescent="0.25">
      <c r="A399" s="1">
        <v>45356</v>
      </c>
      <c r="B399" t="s">
        <v>399</v>
      </c>
      <c r="C399" t="s">
        <v>3</v>
      </c>
      <c r="D399" t="s">
        <v>786</v>
      </c>
      <c r="E399" t="s">
        <v>778</v>
      </c>
      <c r="F399">
        <v>10610</v>
      </c>
      <c r="G399" s="2">
        <f t="shared" si="6"/>
        <v>1591.5</v>
      </c>
      <c r="H399">
        <v>5</v>
      </c>
    </row>
    <row r="400" spans="1:8" x14ac:dyDescent="0.25">
      <c r="A400" s="1">
        <v>45326</v>
      </c>
      <c r="B400" t="s">
        <v>400</v>
      </c>
      <c r="C400" t="s">
        <v>6</v>
      </c>
      <c r="D400" t="s">
        <v>787</v>
      </c>
      <c r="E400" t="s">
        <v>780</v>
      </c>
      <c r="F400">
        <v>17866</v>
      </c>
      <c r="G400" s="2">
        <f t="shared" si="6"/>
        <v>2679.9</v>
      </c>
      <c r="H400">
        <v>5</v>
      </c>
    </row>
    <row r="401" spans="1:8" x14ac:dyDescent="0.25">
      <c r="A401" s="1">
        <v>45324</v>
      </c>
      <c r="B401" t="s">
        <v>401</v>
      </c>
      <c r="C401" t="s">
        <v>6</v>
      </c>
      <c r="D401" t="s">
        <v>787</v>
      </c>
      <c r="E401" t="s">
        <v>779</v>
      </c>
      <c r="F401">
        <v>42410</v>
      </c>
      <c r="G401" s="2">
        <f t="shared" si="6"/>
        <v>6361.5</v>
      </c>
      <c r="H401">
        <v>1</v>
      </c>
    </row>
    <row r="402" spans="1:8" x14ac:dyDescent="0.25">
      <c r="A402" s="1">
        <v>45586</v>
      </c>
      <c r="B402" t="s">
        <v>402</v>
      </c>
      <c r="C402" t="s">
        <v>3</v>
      </c>
      <c r="D402" t="s">
        <v>786</v>
      </c>
      <c r="E402" t="s">
        <v>781</v>
      </c>
      <c r="F402">
        <v>15983</v>
      </c>
      <c r="G402" s="2">
        <f t="shared" si="6"/>
        <v>2397.4499999999998</v>
      </c>
      <c r="H402">
        <v>3</v>
      </c>
    </row>
    <row r="403" spans="1:8" x14ac:dyDescent="0.25">
      <c r="A403" s="1">
        <v>45581</v>
      </c>
      <c r="B403" t="s">
        <v>403</v>
      </c>
      <c r="C403" t="s">
        <v>5</v>
      </c>
      <c r="D403" t="s">
        <v>787</v>
      </c>
      <c r="E403" t="s">
        <v>781</v>
      </c>
      <c r="F403">
        <v>54514</v>
      </c>
      <c r="G403" s="2">
        <f t="shared" si="6"/>
        <v>8177.0999999999995</v>
      </c>
      <c r="H403">
        <v>1</v>
      </c>
    </row>
    <row r="404" spans="1:8" x14ac:dyDescent="0.25">
      <c r="A404" s="1">
        <v>45624</v>
      </c>
      <c r="B404" t="s">
        <v>404</v>
      </c>
      <c r="C404" t="s">
        <v>4</v>
      </c>
      <c r="D404" t="s">
        <v>786</v>
      </c>
      <c r="E404" t="s">
        <v>780</v>
      </c>
      <c r="F404">
        <v>16691</v>
      </c>
      <c r="G404" s="2">
        <f t="shared" si="6"/>
        <v>2503.65</v>
      </c>
      <c r="H404">
        <v>2</v>
      </c>
    </row>
    <row r="405" spans="1:8" x14ac:dyDescent="0.25">
      <c r="A405" s="1">
        <v>45452</v>
      </c>
      <c r="B405" t="s">
        <v>405</v>
      </c>
      <c r="C405" t="s">
        <v>6</v>
      </c>
      <c r="D405" t="s">
        <v>787</v>
      </c>
      <c r="E405" t="s">
        <v>778</v>
      </c>
      <c r="F405">
        <v>61928</v>
      </c>
      <c r="G405" s="2">
        <f t="shared" si="6"/>
        <v>9289.1999999999989</v>
      </c>
      <c r="H405">
        <v>5</v>
      </c>
    </row>
    <row r="406" spans="1:8" x14ac:dyDescent="0.25">
      <c r="A406" s="1">
        <v>45649</v>
      </c>
      <c r="B406" t="s">
        <v>406</v>
      </c>
      <c r="C406" t="s">
        <v>6</v>
      </c>
      <c r="D406" t="s">
        <v>787</v>
      </c>
      <c r="E406" t="s">
        <v>780</v>
      </c>
      <c r="F406">
        <v>79401</v>
      </c>
      <c r="G406" s="2">
        <f t="shared" si="6"/>
        <v>11910.15</v>
      </c>
      <c r="H406">
        <v>2</v>
      </c>
    </row>
    <row r="407" spans="1:8" x14ac:dyDescent="0.25">
      <c r="A407" s="1">
        <v>45476</v>
      </c>
      <c r="B407" t="s">
        <v>407</v>
      </c>
      <c r="C407" t="s">
        <v>3</v>
      </c>
      <c r="D407" t="s">
        <v>786</v>
      </c>
      <c r="E407" t="s">
        <v>780</v>
      </c>
      <c r="F407">
        <v>20493</v>
      </c>
      <c r="G407" s="2">
        <f t="shared" si="6"/>
        <v>3073.95</v>
      </c>
      <c r="H407">
        <v>4</v>
      </c>
    </row>
    <row r="408" spans="1:8" x14ac:dyDescent="0.25">
      <c r="A408" s="1">
        <v>45652</v>
      </c>
      <c r="B408" t="s">
        <v>408</v>
      </c>
      <c r="C408" t="s">
        <v>5</v>
      </c>
      <c r="D408" t="s">
        <v>787</v>
      </c>
      <c r="E408" t="s">
        <v>781</v>
      </c>
      <c r="F408">
        <v>18236</v>
      </c>
      <c r="G408" s="2">
        <f t="shared" si="6"/>
        <v>2735.4</v>
      </c>
      <c r="H408">
        <v>3</v>
      </c>
    </row>
    <row r="409" spans="1:8" x14ac:dyDescent="0.25">
      <c r="A409" s="1">
        <v>45448</v>
      </c>
      <c r="B409" t="s">
        <v>409</v>
      </c>
      <c r="C409" t="s">
        <v>7</v>
      </c>
      <c r="D409" t="s">
        <v>788</v>
      </c>
      <c r="E409" t="s">
        <v>778</v>
      </c>
      <c r="F409">
        <v>5998</v>
      </c>
      <c r="G409" s="2">
        <f t="shared" si="6"/>
        <v>899.69999999999993</v>
      </c>
      <c r="H409">
        <v>2</v>
      </c>
    </row>
    <row r="410" spans="1:8" x14ac:dyDescent="0.25">
      <c r="A410" s="1">
        <v>45571</v>
      </c>
      <c r="B410" t="s">
        <v>410</v>
      </c>
      <c r="C410" t="s">
        <v>8</v>
      </c>
      <c r="D410" t="s">
        <v>788</v>
      </c>
      <c r="E410" t="s">
        <v>778</v>
      </c>
      <c r="F410">
        <v>12852</v>
      </c>
      <c r="G410" s="2">
        <f t="shared" si="6"/>
        <v>1927.8</v>
      </c>
      <c r="H410">
        <v>1</v>
      </c>
    </row>
    <row r="411" spans="1:8" x14ac:dyDescent="0.25">
      <c r="A411" s="1">
        <v>45305</v>
      </c>
      <c r="B411" t="s">
        <v>411</v>
      </c>
      <c r="C411" t="s">
        <v>8</v>
      </c>
      <c r="D411" t="s">
        <v>788</v>
      </c>
      <c r="E411" t="s">
        <v>781</v>
      </c>
      <c r="F411">
        <v>52039</v>
      </c>
      <c r="G411" s="2">
        <f t="shared" si="6"/>
        <v>7805.8499999999995</v>
      </c>
      <c r="H411">
        <v>4</v>
      </c>
    </row>
    <row r="412" spans="1:8" x14ac:dyDescent="0.25">
      <c r="A412" s="1">
        <v>45544</v>
      </c>
      <c r="B412" t="s">
        <v>412</v>
      </c>
      <c r="C412" t="s">
        <v>4</v>
      </c>
      <c r="D412" t="s">
        <v>786</v>
      </c>
      <c r="E412" t="s">
        <v>780</v>
      </c>
      <c r="F412">
        <v>79683</v>
      </c>
      <c r="G412" s="2">
        <f t="shared" si="6"/>
        <v>11952.449999999999</v>
      </c>
      <c r="H412">
        <v>3</v>
      </c>
    </row>
    <row r="413" spans="1:8" x14ac:dyDescent="0.25">
      <c r="A413" s="1">
        <v>45401</v>
      </c>
      <c r="B413" t="s">
        <v>413</v>
      </c>
      <c r="C413" t="s">
        <v>5</v>
      </c>
      <c r="D413" t="s">
        <v>787</v>
      </c>
      <c r="E413" t="s">
        <v>781</v>
      </c>
      <c r="F413">
        <v>72687</v>
      </c>
      <c r="G413" s="2">
        <f t="shared" si="6"/>
        <v>10903.05</v>
      </c>
      <c r="H413">
        <v>4</v>
      </c>
    </row>
    <row r="414" spans="1:8" x14ac:dyDescent="0.25">
      <c r="A414" s="1">
        <v>45316</v>
      </c>
      <c r="B414" t="s">
        <v>414</v>
      </c>
      <c r="C414" t="s">
        <v>6</v>
      </c>
      <c r="D414" t="s">
        <v>787</v>
      </c>
      <c r="E414" t="s">
        <v>779</v>
      </c>
      <c r="F414">
        <v>45116</v>
      </c>
      <c r="G414" s="2">
        <f t="shared" si="6"/>
        <v>6767.4</v>
      </c>
      <c r="H414">
        <v>4</v>
      </c>
    </row>
    <row r="415" spans="1:8" x14ac:dyDescent="0.25">
      <c r="A415" s="1">
        <v>45399</v>
      </c>
      <c r="B415" t="s">
        <v>415</v>
      </c>
      <c r="C415" t="s">
        <v>6</v>
      </c>
      <c r="D415" t="s">
        <v>787</v>
      </c>
      <c r="E415" t="s">
        <v>778</v>
      </c>
      <c r="F415">
        <v>78114</v>
      </c>
      <c r="G415" s="2">
        <f t="shared" si="6"/>
        <v>11717.1</v>
      </c>
      <c r="H415">
        <v>3</v>
      </c>
    </row>
    <row r="416" spans="1:8" x14ac:dyDescent="0.25">
      <c r="A416" s="1">
        <v>45433</v>
      </c>
      <c r="B416" t="s">
        <v>416</v>
      </c>
      <c r="C416" t="s">
        <v>3</v>
      </c>
      <c r="D416" t="s">
        <v>786</v>
      </c>
      <c r="E416" t="s">
        <v>778</v>
      </c>
      <c r="F416">
        <v>69586</v>
      </c>
      <c r="G416" s="2">
        <f t="shared" si="6"/>
        <v>10437.9</v>
      </c>
      <c r="H416">
        <v>3</v>
      </c>
    </row>
    <row r="417" spans="1:8" x14ac:dyDescent="0.25">
      <c r="A417" s="1">
        <v>45440</v>
      </c>
      <c r="B417" t="s">
        <v>417</v>
      </c>
      <c r="C417" t="s">
        <v>6</v>
      </c>
      <c r="D417" t="s">
        <v>787</v>
      </c>
      <c r="E417" t="s">
        <v>778</v>
      </c>
      <c r="F417">
        <v>27454</v>
      </c>
      <c r="G417" s="2">
        <f t="shared" si="6"/>
        <v>4118.0999999999995</v>
      </c>
      <c r="H417">
        <v>3</v>
      </c>
    </row>
    <row r="418" spans="1:8" x14ac:dyDescent="0.25">
      <c r="A418" s="1">
        <v>45402</v>
      </c>
      <c r="B418" t="s">
        <v>418</v>
      </c>
      <c r="C418" t="s">
        <v>5</v>
      </c>
      <c r="D418" t="s">
        <v>787</v>
      </c>
      <c r="E418" t="s">
        <v>778</v>
      </c>
      <c r="F418">
        <v>33428</v>
      </c>
      <c r="G418" s="2">
        <f t="shared" si="6"/>
        <v>5014.2</v>
      </c>
      <c r="H418">
        <v>5</v>
      </c>
    </row>
    <row r="419" spans="1:8" x14ac:dyDescent="0.25">
      <c r="A419" s="1">
        <v>45462</v>
      </c>
      <c r="B419" t="s">
        <v>419</v>
      </c>
      <c r="C419" t="s">
        <v>8</v>
      </c>
      <c r="D419" t="s">
        <v>788</v>
      </c>
      <c r="E419" t="s">
        <v>778</v>
      </c>
      <c r="F419">
        <v>59077</v>
      </c>
      <c r="G419" s="2">
        <f t="shared" si="6"/>
        <v>8861.5499999999993</v>
      </c>
      <c r="H419">
        <v>4</v>
      </c>
    </row>
    <row r="420" spans="1:8" x14ac:dyDescent="0.25">
      <c r="A420" s="1">
        <v>45589</v>
      </c>
      <c r="B420" t="s">
        <v>420</v>
      </c>
      <c r="C420" t="s">
        <v>4</v>
      </c>
      <c r="D420" t="s">
        <v>786</v>
      </c>
      <c r="E420" t="s">
        <v>779</v>
      </c>
      <c r="F420">
        <v>9745</v>
      </c>
      <c r="G420" s="2">
        <f t="shared" si="6"/>
        <v>1461.75</v>
      </c>
      <c r="H420">
        <v>5</v>
      </c>
    </row>
    <row r="421" spans="1:8" x14ac:dyDescent="0.25">
      <c r="A421" s="1">
        <v>45408</v>
      </c>
      <c r="B421" t="s">
        <v>135</v>
      </c>
      <c r="C421" t="s">
        <v>5</v>
      </c>
      <c r="D421" t="s">
        <v>787</v>
      </c>
      <c r="E421" t="s">
        <v>779</v>
      </c>
      <c r="F421">
        <v>35764</v>
      </c>
      <c r="G421" s="2">
        <f t="shared" si="6"/>
        <v>5364.5999999999995</v>
      </c>
      <c r="H421">
        <v>4</v>
      </c>
    </row>
    <row r="422" spans="1:8" x14ac:dyDescent="0.25">
      <c r="A422" s="1">
        <v>45568</v>
      </c>
      <c r="B422" t="s">
        <v>421</v>
      </c>
      <c r="C422" t="s">
        <v>3</v>
      </c>
      <c r="D422" t="s">
        <v>786</v>
      </c>
      <c r="E422" t="s">
        <v>780</v>
      </c>
      <c r="F422">
        <v>77647</v>
      </c>
      <c r="G422" s="2">
        <f t="shared" si="6"/>
        <v>11647.05</v>
      </c>
      <c r="H422">
        <v>1</v>
      </c>
    </row>
    <row r="423" spans="1:8" x14ac:dyDescent="0.25">
      <c r="A423" s="1">
        <v>45639</v>
      </c>
      <c r="B423" t="s">
        <v>422</v>
      </c>
      <c r="C423" t="s">
        <v>3</v>
      </c>
      <c r="D423" t="s">
        <v>786</v>
      </c>
      <c r="E423" t="s">
        <v>779</v>
      </c>
      <c r="F423">
        <v>69562</v>
      </c>
      <c r="G423" s="2">
        <f t="shared" si="6"/>
        <v>10434.299999999999</v>
      </c>
      <c r="H423">
        <v>1</v>
      </c>
    </row>
    <row r="424" spans="1:8" x14ac:dyDescent="0.25">
      <c r="A424" s="1">
        <v>45292</v>
      </c>
      <c r="B424" t="s">
        <v>423</v>
      </c>
      <c r="C424" t="s">
        <v>4</v>
      </c>
      <c r="D424" t="s">
        <v>786</v>
      </c>
      <c r="E424" t="s">
        <v>781</v>
      </c>
      <c r="F424">
        <v>28489</v>
      </c>
      <c r="G424" s="2">
        <f t="shared" si="6"/>
        <v>4273.3499999999995</v>
      </c>
      <c r="H424">
        <v>1</v>
      </c>
    </row>
    <row r="425" spans="1:8" x14ac:dyDescent="0.25">
      <c r="A425" s="1">
        <v>45635</v>
      </c>
      <c r="B425" t="s">
        <v>424</v>
      </c>
      <c r="C425" t="s">
        <v>8</v>
      </c>
      <c r="D425" t="s">
        <v>788</v>
      </c>
      <c r="E425" t="s">
        <v>779</v>
      </c>
      <c r="F425">
        <v>44255</v>
      </c>
      <c r="G425" s="2">
        <f t="shared" si="6"/>
        <v>6638.25</v>
      </c>
      <c r="H425">
        <v>1</v>
      </c>
    </row>
    <row r="426" spans="1:8" x14ac:dyDescent="0.25">
      <c r="A426" s="1">
        <v>45508</v>
      </c>
      <c r="B426" t="s">
        <v>425</v>
      </c>
      <c r="C426" t="s">
        <v>5</v>
      </c>
      <c r="D426" t="s">
        <v>787</v>
      </c>
      <c r="E426" t="s">
        <v>780</v>
      </c>
      <c r="F426">
        <v>78482</v>
      </c>
      <c r="G426" s="2">
        <f t="shared" si="6"/>
        <v>11772.3</v>
      </c>
      <c r="H426">
        <v>1</v>
      </c>
    </row>
    <row r="427" spans="1:8" x14ac:dyDescent="0.25">
      <c r="A427" s="1">
        <v>45525</v>
      </c>
      <c r="B427" t="s">
        <v>426</v>
      </c>
      <c r="C427" t="s">
        <v>5</v>
      </c>
      <c r="D427" t="s">
        <v>787</v>
      </c>
      <c r="E427" t="s">
        <v>780</v>
      </c>
      <c r="F427">
        <v>58742</v>
      </c>
      <c r="G427" s="2">
        <f t="shared" si="6"/>
        <v>8811.2999999999993</v>
      </c>
      <c r="H427">
        <v>1</v>
      </c>
    </row>
    <row r="428" spans="1:8" x14ac:dyDescent="0.25">
      <c r="A428" s="1">
        <v>45363</v>
      </c>
      <c r="B428" t="s">
        <v>427</v>
      </c>
      <c r="C428" t="s">
        <v>8</v>
      </c>
      <c r="D428" t="s">
        <v>788</v>
      </c>
      <c r="E428" t="s">
        <v>778</v>
      </c>
      <c r="F428">
        <v>32345</v>
      </c>
      <c r="G428" s="2">
        <f t="shared" si="6"/>
        <v>4851.75</v>
      </c>
      <c r="H428">
        <v>5</v>
      </c>
    </row>
    <row r="429" spans="1:8" x14ac:dyDescent="0.25">
      <c r="A429" s="1">
        <v>45641</v>
      </c>
      <c r="B429" t="s">
        <v>57</v>
      </c>
      <c r="C429" t="s">
        <v>4</v>
      </c>
      <c r="D429" t="s">
        <v>786</v>
      </c>
      <c r="E429" t="s">
        <v>779</v>
      </c>
      <c r="F429">
        <v>1833</v>
      </c>
      <c r="G429" s="2">
        <f t="shared" si="6"/>
        <v>274.95</v>
      </c>
      <c r="H429">
        <v>2</v>
      </c>
    </row>
    <row r="430" spans="1:8" x14ac:dyDescent="0.25">
      <c r="A430" s="1">
        <v>45327</v>
      </c>
      <c r="B430" t="s">
        <v>428</v>
      </c>
      <c r="C430" t="s">
        <v>8</v>
      </c>
      <c r="D430" t="s">
        <v>788</v>
      </c>
      <c r="E430" t="s">
        <v>781</v>
      </c>
      <c r="F430">
        <v>15971</v>
      </c>
      <c r="G430" s="2">
        <f t="shared" si="6"/>
        <v>2395.65</v>
      </c>
      <c r="H430">
        <v>5</v>
      </c>
    </row>
    <row r="431" spans="1:8" x14ac:dyDescent="0.25">
      <c r="A431" s="1">
        <v>45476</v>
      </c>
      <c r="B431" t="s">
        <v>429</v>
      </c>
      <c r="C431" t="s">
        <v>7</v>
      </c>
      <c r="D431" t="s">
        <v>788</v>
      </c>
      <c r="E431" t="s">
        <v>781</v>
      </c>
      <c r="F431">
        <v>35625</v>
      </c>
      <c r="G431" s="2">
        <f t="shared" si="6"/>
        <v>5343.75</v>
      </c>
      <c r="H431">
        <v>4</v>
      </c>
    </row>
    <row r="432" spans="1:8" x14ac:dyDescent="0.25">
      <c r="A432" s="1">
        <v>45410</v>
      </c>
      <c r="B432" t="s">
        <v>430</v>
      </c>
      <c r="C432" t="s">
        <v>3</v>
      </c>
      <c r="D432" t="s">
        <v>786</v>
      </c>
      <c r="E432" t="s">
        <v>778</v>
      </c>
      <c r="F432">
        <v>75958</v>
      </c>
      <c r="G432" s="2">
        <f t="shared" si="6"/>
        <v>11393.699999999999</v>
      </c>
      <c r="H432">
        <v>5</v>
      </c>
    </row>
    <row r="433" spans="1:8" x14ac:dyDescent="0.25">
      <c r="A433" s="1">
        <v>45544</v>
      </c>
      <c r="B433" t="s">
        <v>431</v>
      </c>
      <c r="C433" t="s">
        <v>4</v>
      </c>
      <c r="D433" t="s">
        <v>786</v>
      </c>
      <c r="E433" t="s">
        <v>780</v>
      </c>
      <c r="F433">
        <v>39642</v>
      </c>
      <c r="G433" s="2">
        <f t="shared" si="6"/>
        <v>5946.3</v>
      </c>
      <c r="H433">
        <v>1</v>
      </c>
    </row>
    <row r="434" spans="1:8" x14ac:dyDescent="0.25">
      <c r="A434" s="1">
        <v>45499</v>
      </c>
      <c r="B434" t="s">
        <v>432</v>
      </c>
      <c r="C434" t="s">
        <v>5</v>
      </c>
      <c r="D434" t="s">
        <v>787</v>
      </c>
      <c r="E434" t="s">
        <v>781</v>
      </c>
      <c r="F434">
        <v>37055</v>
      </c>
      <c r="G434" s="2">
        <f t="shared" si="6"/>
        <v>5558.25</v>
      </c>
      <c r="H434">
        <v>2</v>
      </c>
    </row>
    <row r="435" spans="1:8" x14ac:dyDescent="0.25">
      <c r="A435" s="1">
        <v>45306</v>
      </c>
      <c r="B435" t="s">
        <v>433</v>
      </c>
      <c r="C435" t="s">
        <v>5</v>
      </c>
      <c r="D435" t="s">
        <v>787</v>
      </c>
      <c r="E435" t="s">
        <v>780</v>
      </c>
      <c r="F435">
        <v>40028</v>
      </c>
      <c r="G435" s="2">
        <f t="shared" si="6"/>
        <v>6004.2</v>
      </c>
      <c r="H435">
        <v>5</v>
      </c>
    </row>
    <row r="436" spans="1:8" x14ac:dyDescent="0.25">
      <c r="A436" s="1">
        <v>45541</v>
      </c>
      <c r="B436" t="s">
        <v>434</v>
      </c>
      <c r="C436" t="s">
        <v>7</v>
      </c>
      <c r="D436" t="s">
        <v>788</v>
      </c>
      <c r="E436" t="s">
        <v>780</v>
      </c>
      <c r="F436">
        <v>1887</v>
      </c>
      <c r="G436" s="2">
        <f t="shared" si="6"/>
        <v>283.05</v>
      </c>
      <c r="H436">
        <v>3</v>
      </c>
    </row>
    <row r="437" spans="1:8" x14ac:dyDescent="0.25">
      <c r="A437" s="1">
        <v>45651</v>
      </c>
      <c r="B437" t="s">
        <v>435</v>
      </c>
      <c r="C437" t="s">
        <v>8</v>
      </c>
      <c r="D437" t="s">
        <v>788</v>
      </c>
      <c r="E437" t="s">
        <v>780</v>
      </c>
      <c r="F437">
        <v>58846</v>
      </c>
      <c r="G437" s="2">
        <f t="shared" si="6"/>
        <v>8826.9</v>
      </c>
      <c r="H437">
        <v>4</v>
      </c>
    </row>
    <row r="438" spans="1:8" x14ac:dyDescent="0.25">
      <c r="A438" s="1">
        <v>45371</v>
      </c>
      <c r="B438" t="s">
        <v>436</v>
      </c>
      <c r="C438" t="s">
        <v>5</v>
      </c>
      <c r="D438" t="s">
        <v>787</v>
      </c>
      <c r="E438" t="s">
        <v>781</v>
      </c>
      <c r="F438">
        <v>79643</v>
      </c>
      <c r="G438" s="2">
        <f t="shared" si="6"/>
        <v>11946.449999999999</v>
      </c>
      <c r="H438">
        <v>3</v>
      </c>
    </row>
    <row r="439" spans="1:8" x14ac:dyDescent="0.25">
      <c r="A439" s="1">
        <v>45577</v>
      </c>
      <c r="B439" t="s">
        <v>164</v>
      </c>
      <c r="C439" t="s">
        <v>5</v>
      </c>
      <c r="D439" t="s">
        <v>787</v>
      </c>
      <c r="E439" t="s">
        <v>779</v>
      </c>
      <c r="F439">
        <v>40460</v>
      </c>
      <c r="G439" s="2">
        <f t="shared" si="6"/>
        <v>6069</v>
      </c>
      <c r="H439">
        <v>4</v>
      </c>
    </row>
    <row r="440" spans="1:8" x14ac:dyDescent="0.25">
      <c r="A440" s="1">
        <v>45584</v>
      </c>
      <c r="B440" t="s">
        <v>437</v>
      </c>
      <c r="C440" t="s">
        <v>6</v>
      </c>
      <c r="D440" t="s">
        <v>787</v>
      </c>
      <c r="E440" t="s">
        <v>779</v>
      </c>
      <c r="F440">
        <v>26204</v>
      </c>
      <c r="G440" s="2">
        <f t="shared" si="6"/>
        <v>3930.6</v>
      </c>
      <c r="H440">
        <v>4</v>
      </c>
    </row>
    <row r="441" spans="1:8" x14ac:dyDescent="0.25">
      <c r="A441" s="1">
        <v>45506</v>
      </c>
      <c r="B441" t="s">
        <v>100</v>
      </c>
      <c r="C441" t="s">
        <v>5</v>
      </c>
      <c r="D441" t="s">
        <v>787</v>
      </c>
      <c r="E441" t="s">
        <v>779</v>
      </c>
      <c r="F441">
        <v>32694</v>
      </c>
      <c r="G441" s="2">
        <f t="shared" si="6"/>
        <v>4904.0999999999995</v>
      </c>
      <c r="H441">
        <v>3</v>
      </c>
    </row>
    <row r="442" spans="1:8" x14ac:dyDescent="0.25">
      <c r="A442" s="1">
        <v>45552</v>
      </c>
      <c r="B442" t="s">
        <v>438</v>
      </c>
      <c r="C442" t="s">
        <v>3</v>
      </c>
      <c r="D442" t="s">
        <v>786</v>
      </c>
      <c r="E442" t="s">
        <v>781</v>
      </c>
      <c r="F442">
        <v>69489</v>
      </c>
      <c r="G442" s="2">
        <f t="shared" si="6"/>
        <v>10423.35</v>
      </c>
      <c r="H442">
        <v>1</v>
      </c>
    </row>
    <row r="443" spans="1:8" x14ac:dyDescent="0.25">
      <c r="A443" s="1">
        <v>45562</v>
      </c>
      <c r="B443" t="s">
        <v>439</v>
      </c>
      <c r="C443" t="s">
        <v>8</v>
      </c>
      <c r="D443" t="s">
        <v>788</v>
      </c>
      <c r="E443" t="s">
        <v>779</v>
      </c>
      <c r="F443">
        <v>35042</v>
      </c>
      <c r="G443" s="2">
        <f t="shared" si="6"/>
        <v>5256.3</v>
      </c>
      <c r="H443">
        <v>3</v>
      </c>
    </row>
    <row r="444" spans="1:8" x14ac:dyDescent="0.25">
      <c r="A444" s="1">
        <v>45629</v>
      </c>
      <c r="B444" t="s">
        <v>440</v>
      </c>
      <c r="C444" t="s">
        <v>3</v>
      </c>
      <c r="D444" t="s">
        <v>786</v>
      </c>
      <c r="E444" t="s">
        <v>781</v>
      </c>
      <c r="F444">
        <v>8067</v>
      </c>
      <c r="G444" s="2">
        <f t="shared" si="6"/>
        <v>1210.05</v>
      </c>
      <c r="H444">
        <v>3</v>
      </c>
    </row>
    <row r="445" spans="1:8" x14ac:dyDescent="0.25">
      <c r="A445" s="1">
        <v>45570</v>
      </c>
      <c r="B445" t="s">
        <v>441</v>
      </c>
      <c r="C445" t="s">
        <v>4</v>
      </c>
      <c r="D445" t="s">
        <v>786</v>
      </c>
      <c r="E445" t="s">
        <v>779</v>
      </c>
      <c r="F445">
        <v>60739</v>
      </c>
      <c r="G445" s="2">
        <f t="shared" si="6"/>
        <v>9110.85</v>
      </c>
      <c r="H445">
        <v>1</v>
      </c>
    </row>
    <row r="446" spans="1:8" x14ac:dyDescent="0.25">
      <c r="A446" s="1">
        <v>45305</v>
      </c>
      <c r="B446" t="s">
        <v>442</v>
      </c>
      <c r="C446" t="s">
        <v>5</v>
      </c>
      <c r="D446" t="s">
        <v>787</v>
      </c>
      <c r="E446" t="s">
        <v>779</v>
      </c>
      <c r="F446">
        <v>26807</v>
      </c>
      <c r="G446" s="2">
        <f t="shared" si="6"/>
        <v>4021.0499999999997</v>
      </c>
      <c r="H446">
        <v>2</v>
      </c>
    </row>
    <row r="447" spans="1:8" x14ac:dyDescent="0.25">
      <c r="A447" s="1">
        <v>45522</v>
      </c>
      <c r="B447" t="s">
        <v>443</v>
      </c>
      <c r="C447" t="s">
        <v>3</v>
      </c>
      <c r="D447" t="s">
        <v>786</v>
      </c>
      <c r="E447" t="s">
        <v>778</v>
      </c>
      <c r="F447">
        <v>57936</v>
      </c>
      <c r="G447" s="2">
        <f t="shared" si="6"/>
        <v>8690.4</v>
      </c>
      <c r="H447">
        <v>5</v>
      </c>
    </row>
    <row r="448" spans="1:8" x14ac:dyDescent="0.25">
      <c r="A448" s="1">
        <v>45493</v>
      </c>
      <c r="B448" t="s">
        <v>444</v>
      </c>
      <c r="C448" t="s">
        <v>5</v>
      </c>
      <c r="D448" t="s">
        <v>787</v>
      </c>
      <c r="E448" t="s">
        <v>778</v>
      </c>
      <c r="F448">
        <v>17772</v>
      </c>
      <c r="G448" s="2">
        <f t="shared" si="6"/>
        <v>2665.7999999999997</v>
      </c>
      <c r="H448">
        <v>4</v>
      </c>
    </row>
    <row r="449" spans="1:8" x14ac:dyDescent="0.25">
      <c r="A449" s="1">
        <v>45543</v>
      </c>
      <c r="B449" t="s">
        <v>445</v>
      </c>
      <c r="C449" t="s">
        <v>6</v>
      </c>
      <c r="D449" t="s">
        <v>787</v>
      </c>
      <c r="E449" t="s">
        <v>779</v>
      </c>
      <c r="F449">
        <v>62159</v>
      </c>
      <c r="G449" s="2">
        <f t="shared" si="6"/>
        <v>9323.85</v>
      </c>
      <c r="H449">
        <v>4</v>
      </c>
    </row>
    <row r="450" spans="1:8" x14ac:dyDescent="0.25">
      <c r="A450" s="1">
        <v>45489</v>
      </c>
      <c r="B450" t="s">
        <v>446</v>
      </c>
      <c r="C450" t="s">
        <v>6</v>
      </c>
      <c r="D450" t="s">
        <v>787</v>
      </c>
      <c r="E450" t="s">
        <v>779</v>
      </c>
      <c r="F450">
        <v>74544</v>
      </c>
      <c r="G450" s="2">
        <f t="shared" si="6"/>
        <v>11181.6</v>
      </c>
      <c r="H450">
        <v>5</v>
      </c>
    </row>
    <row r="451" spans="1:8" x14ac:dyDescent="0.25">
      <c r="A451" s="1">
        <v>45437</v>
      </c>
      <c r="B451" t="s">
        <v>447</v>
      </c>
      <c r="C451" t="s">
        <v>8</v>
      </c>
      <c r="D451" t="s">
        <v>788</v>
      </c>
      <c r="E451" t="s">
        <v>781</v>
      </c>
      <c r="F451">
        <v>47787</v>
      </c>
      <c r="G451" s="2">
        <f t="shared" ref="G451:G514" si="7">F451*0.15</f>
        <v>7168.05</v>
      </c>
      <c r="H451">
        <v>4</v>
      </c>
    </row>
    <row r="452" spans="1:8" x14ac:dyDescent="0.25">
      <c r="A452" s="1">
        <v>45547</v>
      </c>
      <c r="B452" t="s">
        <v>151</v>
      </c>
      <c r="C452" t="s">
        <v>3</v>
      </c>
      <c r="D452" t="s">
        <v>786</v>
      </c>
      <c r="E452" t="s">
        <v>781</v>
      </c>
      <c r="F452">
        <v>20677</v>
      </c>
      <c r="G452" s="2">
        <f t="shared" si="7"/>
        <v>3101.5499999999997</v>
      </c>
      <c r="H452">
        <v>5</v>
      </c>
    </row>
    <row r="453" spans="1:8" x14ac:dyDescent="0.25">
      <c r="A453" s="1">
        <v>45585</v>
      </c>
      <c r="B453" t="s">
        <v>448</v>
      </c>
      <c r="C453" t="s">
        <v>6</v>
      </c>
      <c r="D453" t="s">
        <v>787</v>
      </c>
      <c r="E453" t="s">
        <v>779</v>
      </c>
      <c r="F453">
        <v>4101</v>
      </c>
      <c r="G453" s="2">
        <f t="shared" si="7"/>
        <v>615.15</v>
      </c>
      <c r="H453">
        <v>2</v>
      </c>
    </row>
    <row r="454" spans="1:8" x14ac:dyDescent="0.25">
      <c r="A454" s="1">
        <v>45346</v>
      </c>
      <c r="B454" t="s">
        <v>449</v>
      </c>
      <c r="C454" t="s">
        <v>5</v>
      </c>
      <c r="D454" t="s">
        <v>787</v>
      </c>
      <c r="E454" t="s">
        <v>779</v>
      </c>
      <c r="F454">
        <v>59056</v>
      </c>
      <c r="G454" s="2">
        <f t="shared" si="7"/>
        <v>8858.4</v>
      </c>
      <c r="H454">
        <v>5</v>
      </c>
    </row>
    <row r="455" spans="1:8" x14ac:dyDescent="0.25">
      <c r="A455" s="1">
        <v>45563</v>
      </c>
      <c r="B455" t="s">
        <v>450</v>
      </c>
      <c r="C455" t="s">
        <v>4</v>
      </c>
      <c r="D455" t="s">
        <v>786</v>
      </c>
      <c r="E455" t="s">
        <v>779</v>
      </c>
      <c r="F455">
        <v>3587</v>
      </c>
      <c r="G455" s="2">
        <f t="shared" si="7"/>
        <v>538.04999999999995</v>
      </c>
      <c r="H455">
        <v>3</v>
      </c>
    </row>
    <row r="456" spans="1:8" x14ac:dyDescent="0.25">
      <c r="A456" s="1">
        <v>45527</v>
      </c>
      <c r="B456" t="s">
        <v>451</v>
      </c>
      <c r="C456" t="s">
        <v>8</v>
      </c>
      <c r="D456" t="s">
        <v>788</v>
      </c>
      <c r="E456" t="s">
        <v>780</v>
      </c>
      <c r="F456">
        <v>57991</v>
      </c>
      <c r="G456" s="2">
        <f t="shared" si="7"/>
        <v>8698.65</v>
      </c>
      <c r="H456">
        <v>3</v>
      </c>
    </row>
    <row r="457" spans="1:8" x14ac:dyDescent="0.25">
      <c r="A457" s="1">
        <v>45367</v>
      </c>
      <c r="B457" t="s">
        <v>452</v>
      </c>
      <c r="C457" t="s">
        <v>7</v>
      </c>
      <c r="D457" t="s">
        <v>788</v>
      </c>
      <c r="E457" t="s">
        <v>780</v>
      </c>
      <c r="F457">
        <v>79749</v>
      </c>
      <c r="G457" s="2">
        <f t="shared" si="7"/>
        <v>11962.35</v>
      </c>
      <c r="H457">
        <v>2</v>
      </c>
    </row>
    <row r="458" spans="1:8" x14ac:dyDescent="0.25">
      <c r="A458" s="1">
        <v>45522</v>
      </c>
      <c r="B458" t="s">
        <v>453</v>
      </c>
      <c r="C458" t="s">
        <v>8</v>
      </c>
      <c r="D458" t="s">
        <v>788</v>
      </c>
      <c r="E458" t="s">
        <v>780</v>
      </c>
      <c r="F458">
        <v>47736</v>
      </c>
      <c r="G458" s="2">
        <f t="shared" si="7"/>
        <v>7160.4</v>
      </c>
      <c r="H458">
        <v>3</v>
      </c>
    </row>
    <row r="459" spans="1:8" x14ac:dyDescent="0.25">
      <c r="A459" s="1">
        <v>45484</v>
      </c>
      <c r="B459" t="s">
        <v>454</v>
      </c>
      <c r="C459" t="s">
        <v>4</v>
      </c>
      <c r="D459" t="s">
        <v>786</v>
      </c>
      <c r="E459" t="s">
        <v>779</v>
      </c>
      <c r="F459">
        <v>22344</v>
      </c>
      <c r="G459" s="2">
        <f t="shared" si="7"/>
        <v>3351.6</v>
      </c>
      <c r="H459">
        <v>3</v>
      </c>
    </row>
    <row r="460" spans="1:8" x14ac:dyDescent="0.25">
      <c r="A460" s="1">
        <v>45480</v>
      </c>
      <c r="B460" t="s">
        <v>455</v>
      </c>
      <c r="C460" t="s">
        <v>6</v>
      </c>
      <c r="D460" t="s">
        <v>787</v>
      </c>
      <c r="E460" t="s">
        <v>779</v>
      </c>
      <c r="F460">
        <v>63003</v>
      </c>
      <c r="G460" s="2">
        <f t="shared" si="7"/>
        <v>9450.4499999999989</v>
      </c>
      <c r="H460">
        <v>1</v>
      </c>
    </row>
    <row r="461" spans="1:8" x14ac:dyDescent="0.25">
      <c r="A461" s="1">
        <v>45384</v>
      </c>
      <c r="B461" t="s">
        <v>456</v>
      </c>
      <c r="C461" t="s">
        <v>4</v>
      </c>
      <c r="D461" t="s">
        <v>786</v>
      </c>
      <c r="E461" t="s">
        <v>779</v>
      </c>
      <c r="F461">
        <v>53419</v>
      </c>
      <c r="G461" s="2">
        <f t="shared" si="7"/>
        <v>8012.8499999999995</v>
      </c>
      <c r="H461">
        <v>4</v>
      </c>
    </row>
    <row r="462" spans="1:8" x14ac:dyDescent="0.25">
      <c r="A462" s="1">
        <v>45554</v>
      </c>
      <c r="B462" t="s">
        <v>457</v>
      </c>
      <c r="C462" t="s">
        <v>8</v>
      </c>
      <c r="D462" t="s">
        <v>788</v>
      </c>
      <c r="E462" t="s">
        <v>778</v>
      </c>
      <c r="F462">
        <v>6021</v>
      </c>
      <c r="G462" s="2">
        <f t="shared" si="7"/>
        <v>903.15</v>
      </c>
      <c r="H462">
        <v>4</v>
      </c>
    </row>
    <row r="463" spans="1:8" x14ac:dyDescent="0.25">
      <c r="A463" s="1">
        <v>45427</v>
      </c>
      <c r="B463" t="s">
        <v>458</v>
      </c>
      <c r="C463" t="s">
        <v>6</v>
      </c>
      <c r="D463" t="s">
        <v>787</v>
      </c>
      <c r="E463" t="s">
        <v>779</v>
      </c>
      <c r="F463">
        <v>68300</v>
      </c>
      <c r="G463" s="2">
        <f t="shared" si="7"/>
        <v>10245</v>
      </c>
      <c r="H463">
        <v>3</v>
      </c>
    </row>
    <row r="464" spans="1:8" x14ac:dyDescent="0.25">
      <c r="A464" s="1">
        <v>45446</v>
      </c>
      <c r="B464" t="s">
        <v>459</v>
      </c>
      <c r="C464" t="s">
        <v>5</v>
      </c>
      <c r="D464" t="s">
        <v>787</v>
      </c>
      <c r="E464" t="s">
        <v>778</v>
      </c>
      <c r="F464">
        <v>19703</v>
      </c>
      <c r="G464" s="2">
        <f t="shared" si="7"/>
        <v>2955.45</v>
      </c>
      <c r="H464">
        <v>1</v>
      </c>
    </row>
    <row r="465" spans="1:8" x14ac:dyDescent="0.25">
      <c r="A465" s="1">
        <v>45571</v>
      </c>
      <c r="B465" t="s">
        <v>460</v>
      </c>
      <c r="C465" t="s">
        <v>4</v>
      </c>
      <c r="D465" t="s">
        <v>786</v>
      </c>
      <c r="E465" t="s">
        <v>778</v>
      </c>
      <c r="F465">
        <v>56824</v>
      </c>
      <c r="G465" s="2">
        <f t="shared" si="7"/>
        <v>8523.6</v>
      </c>
      <c r="H465">
        <v>1</v>
      </c>
    </row>
    <row r="466" spans="1:8" x14ac:dyDescent="0.25">
      <c r="A466" s="1">
        <v>45301</v>
      </c>
      <c r="B466" t="s">
        <v>461</v>
      </c>
      <c r="C466" t="s">
        <v>6</v>
      </c>
      <c r="D466" t="s">
        <v>787</v>
      </c>
      <c r="E466" t="s">
        <v>778</v>
      </c>
      <c r="F466">
        <v>37199</v>
      </c>
      <c r="G466" s="2">
        <f t="shared" si="7"/>
        <v>5579.8499999999995</v>
      </c>
      <c r="H466">
        <v>3</v>
      </c>
    </row>
    <row r="467" spans="1:8" x14ac:dyDescent="0.25">
      <c r="A467" s="1">
        <v>45541</v>
      </c>
      <c r="B467" t="s">
        <v>462</v>
      </c>
      <c r="C467" t="s">
        <v>6</v>
      </c>
      <c r="D467" t="s">
        <v>787</v>
      </c>
      <c r="E467" t="s">
        <v>780</v>
      </c>
      <c r="F467">
        <v>44517</v>
      </c>
      <c r="G467" s="2">
        <f t="shared" si="7"/>
        <v>6677.55</v>
      </c>
      <c r="H467">
        <v>5</v>
      </c>
    </row>
    <row r="468" spans="1:8" x14ac:dyDescent="0.25">
      <c r="A468" s="1">
        <v>45619</v>
      </c>
      <c r="B468" t="s">
        <v>463</v>
      </c>
      <c r="C468" t="s">
        <v>6</v>
      </c>
      <c r="D468" t="s">
        <v>787</v>
      </c>
      <c r="E468" t="s">
        <v>779</v>
      </c>
      <c r="F468">
        <v>16612</v>
      </c>
      <c r="G468" s="2">
        <f t="shared" si="7"/>
        <v>2491.7999999999997</v>
      </c>
      <c r="H468">
        <v>5</v>
      </c>
    </row>
    <row r="469" spans="1:8" x14ac:dyDescent="0.25">
      <c r="A469" s="1">
        <v>45614</v>
      </c>
      <c r="B469" t="s">
        <v>464</v>
      </c>
      <c r="C469" t="s">
        <v>6</v>
      </c>
      <c r="D469" t="s">
        <v>787</v>
      </c>
      <c r="E469" t="s">
        <v>779</v>
      </c>
      <c r="F469">
        <v>66370</v>
      </c>
      <c r="G469" s="2">
        <f t="shared" si="7"/>
        <v>9955.5</v>
      </c>
      <c r="H469">
        <v>2</v>
      </c>
    </row>
    <row r="470" spans="1:8" x14ac:dyDescent="0.25">
      <c r="A470" s="1">
        <v>45528</v>
      </c>
      <c r="B470" t="s">
        <v>465</v>
      </c>
      <c r="C470" t="s">
        <v>7</v>
      </c>
      <c r="D470" t="s">
        <v>788</v>
      </c>
      <c r="E470" t="s">
        <v>779</v>
      </c>
      <c r="F470">
        <v>43405</v>
      </c>
      <c r="G470" s="2">
        <f t="shared" si="7"/>
        <v>6510.75</v>
      </c>
      <c r="H470">
        <v>2</v>
      </c>
    </row>
    <row r="471" spans="1:8" x14ac:dyDescent="0.25">
      <c r="A471" s="1">
        <v>45576</v>
      </c>
      <c r="B471" t="s">
        <v>466</v>
      </c>
      <c r="C471" t="s">
        <v>7</v>
      </c>
      <c r="D471" t="s">
        <v>788</v>
      </c>
      <c r="E471" t="s">
        <v>781</v>
      </c>
      <c r="F471">
        <v>78564</v>
      </c>
      <c r="G471" s="2">
        <f t="shared" si="7"/>
        <v>11784.6</v>
      </c>
      <c r="H471">
        <v>1</v>
      </c>
    </row>
    <row r="472" spans="1:8" x14ac:dyDescent="0.25">
      <c r="A472" s="1">
        <v>45359</v>
      </c>
      <c r="B472" t="s">
        <v>467</v>
      </c>
      <c r="C472" t="s">
        <v>7</v>
      </c>
      <c r="D472" t="s">
        <v>788</v>
      </c>
      <c r="E472" t="s">
        <v>778</v>
      </c>
      <c r="F472">
        <v>63068</v>
      </c>
      <c r="G472" s="2">
        <f t="shared" si="7"/>
        <v>9460.1999999999989</v>
      </c>
      <c r="H472">
        <v>2</v>
      </c>
    </row>
    <row r="473" spans="1:8" x14ac:dyDescent="0.25">
      <c r="A473" s="1">
        <v>45408</v>
      </c>
      <c r="B473" t="s">
        <v>468</v>
      </c>
      <c r="C473" t="s">
        <v>6</v>
      </c>
      <c r="D473" t="s">
        <v>787</v>
      </c>
      <c r="E473" t="s">
        <v>779</v>
      </c>
      <c r="F473">
        <v>33227</v>
      </c>
      <c r="G473" s="2">
        <f t="shared" si="7"/>
        <v>4984.05</v>
      </c>
      <c r="H473">
        <v>2</v>
      </c>
    </row>
    <row r="474" spans="1:8" x14ac:dyDescent="0.25">
      <c r="A474" s="1">
        <v>45611</v>
      </c>
      <c r="B474" t="s">
        <v>469</v>
      </c>
      <c r="C474" t="s">
        <v>7</v>
      </c>
      <c r="D474" t="s">
        <v>788</v>
      </c>
      <c r="E474" t="s">
        <v>781</v>
      </c>
      <c r="F474">
        <v>53153</v>
      </c>
      <c r="G474" s="2">
        <f t="shared" si="7"/>
        <v>7972.95</v>
      </c>
      <c r="H474">
        <v>1</v>
      </c>
    </row>
    <row r="475" spans="1:8" x14ac:dyDescent="0.25">
      <c r="A475" s="1">
        <v>45394</v>
      </c>
      <c r="B475" t="s">
        <v>470</v>
      </c>
      <c r="C475" t="s">
        <v>6</v>
      </c>
      <c r="D475" t="s">
        <v>787</v>
      </c>
      <c r="E475" t="s">
        <v>780</v>
      </c>
      <c r="F475">
        <v>48027</v>
      </c>
      <c r="G475" s="2">
        <f t="shared" si="7"/>
        <v>7204.05</v>
      </c>
      <c r="H475">
        <v>1</v>
      </c>
    </row>
    <row r="476" spans="1:8" x14ac:dyDescent="0.25">
      <c r="A476" s="1">
        <v>45413</v>
      </c>
      <c r="B476" t="s">
        <v>471</v>
      </c>
      <c r="C476" t="s">
        <v>5</v>
      </c>
      <c r="D476" t="s">
        <v>787</v>
      </c>
      <c r="E476" t="s">
        <v>781</v>
      </c>
      <c r="F476">
        <v>70075</v>
      </c>
      <c r="G476" s="2">
        <f t="shared" si="7"/>
        <v>10511.25</v>
      </c>
      <c r="H476">
        <v>5</v>
      </c>
    </row>
    <row r="477" spans="1:8" x14ac:dyDescent="0.25">
      <c r="A477" s="1">
        <v>45371</v>
      </c>
      <c r="B477" t="s">
        <v>472</v>
      </c>
      <c r="C477" t="s">
        <v>7</v>
      </c>
      <c r="D477" t="s">
        <v>788</v>
      </c>
      <c r="E477" t="s">
        <v>779</v>
      </c>
      <c r="F477">
        <v>65128</v>
      </c>
      <c r="G477" s="2">
        <f t="shared" si="7"/>
        <v>9769.1999999999989</v>
      </c>
      <c r="H477">
        <v>5</v>
      </c>
    </row>
    <row r="478" spans="1:8" x14ac:dyDescent="0.25">
      <c r="A478" s="1">
        <v>45531</v>
      </c>
      <c r="B478" t="s">
        <v>473</v>
      </c>
      <c r="C478" t="s">
        <v>5</v>
      </c>
      <c r="D478" t="s">
        <v>787</v>
      </c>
      <c r="E478" t="s">
        <v>779</v>
      </c>
      <c r="F478">
        <v>71884</v>
      </c>
      <c r="G478" s="2">
        <f t="shared" si="7"/>
        <v>10782.6</v>
      </c>
      <c r="H478">
        <v>4</v>
      </c>
    </row>
    <row r="479" spans="1:8" x14ac:dyDescent="0.25">
      <c r="A479" s="1">
        <v>45506</v>
      </c>
      <c r="B479" t="s">
        <v>474</v>
      </c>
      <c r="C479" t="s">
        <v>8</v>
      </c>
      <c r="D479" t="s">
        <v>788</v>
      </c>
      <c r="E479" t="s">
        <v>779</v>
      </c>
      <c r="F479">
        <v>16776</v>
      </c>
      <c r="G479" s="2">
        <f t="shared" si="7"/>
        <v>2516.4</v>
      </c>
      <c r="H479">
        <v>2</v>
      </c>
    </row>
    <row r="480" spans="1:8" x14ac:dyDescent="0.25">
      <c r="A480" s="1">
        <v>45301</v>
      </c>
      <c r="B480" t="s">
        <v>475</v>
      </c>
      <c r="C480" t="s">
        <v>3</v>
      </c>
      <c r="D480" t="s">
        <v>786</v>
      </c>
      <c r="E480" t="s">
        <v>780</v>
      </c>
      <c r="F480">
        <v>1902</v>
      </c>
      <c r="G480" s="2">
        <f t="shared" si="7"/>
        <v>285.3</v>
      </c>
      <c r="H480">
        <v>4</v>
      </c>
    </row>
    <row r="481" spans="1:8" x14ac:dyDescent="0.25">
      <c r="A481" s="1">
        <v>45336</v>
      </c>
      <c r="B481" t="s">
        <v>476</v>
      </c>
      <c r="C481" t="s">
        <v>6</v>
      </c>
      <c r="D481" t="s">
        <v>787</v>
      </c>
      <c r="E481" t="s">
        <v>779</v>
      </c>
      <c r="F481">
        <v>63151</v>
      </c>
      <c r="G481" s="2">
        <f t="shared" si="7"/>
        <v>9472.65</v>
      </c>
      <c r="H481">
        <v>5</v>
      </c>
    </row>
    <row r="482" spans="1:8" x14ac:dyDescent="0.25">
      <c r="A482" s="1">
        <v>45482</v>
      </c>
      <c r="B482" t="s">
        <v>477</v>
      </c>
      <c r="C482" t="s">
        <v>4</v>
      </c>
      <c r="D482" t="s">
        <v>786</v>
      </c>
      <c r="E482" t="s">
        <v>780</v>
      </c>
      <c r="F482">
        <v>1128</v>
      </c>
      <c r="G482" s="2">
        <f t="shared" si="7"/>
        <v>169.2</v>
      </c>
      <c r="H482">
        <v>5</v>
      </c>
    </row>
    <row r="483" spans="1:8" x14ac:dyDescent="0.25">
      <c r="A483" s="1">
        <v>45457</v>
      </c>
      <c r="B483" t="s">
        <v>97</v>
      </c>
      <c r="C483" t="s">
        <v>3</v>
      </c>
      <c r="D483" t="s">
        <v>786</v>
      </c>
      <c r="E483" t="s">
        <v>781</v>
      </c>
      <c r="F483">
        <v>35740</v>
      </c>
      <c r="G483" s="2">
        <f t="shared" si="7"/>
        <v>5361</v>
      </c>
      <c r="H483">
        <v>1</v>
      </c>
    </row>
    <row r="484" spans="1:8" x14ac:dyDescent="0.25">
      <c r="A484" s="1">
        <v>45301</v>
      </c>
      <c r="B484" t="s">
        <v>478</v>
      </c>
      <c r="C484" t="s">
        <v>8</v>
      </c>
      <c r="D484" t="s">
        <v>788</v>
      </c>
      <c r="E484" t="s">
        <v>778</v>
      </c>
      <c r="F484">
        <v>63353</v>
      </c>
      <c r="G484" s="2">
        <f t="shared" si="7"/>
        <v>9502.9499999999989</v>
      </c>
      <c r="H484">
        <v>1</v>
      </c>
    </row>
    <row r="485" spans="1:8" x14ac:dyDescent="0.25">
      <c r="A485" s="1">
        <v>45421</v>
      </c>
      <c r="B485" t="s">
        <v>479</v>
      </c>
      <c r="C485" t="s">
        <v>5</v>
      </c>
      <c r="D485" t="s">
        <v>787</v>
      </c>
      <c r="E485" t="s">
        <v>779</v>
      </c>
      <c r="F485">
        <v>12428</v>
      </c>
      <c r="G485" s="2">
        <f t="shared" si="7"/>
        <v>1864.1999999999998</v>
      </c>
      <c r="H485">
        <v>3</v>
      </c>
    </row>
    <row r="486" spans="1:8" x14ac:dyDescent="0.25">
      <c r="A486" s="1">
        <v>45347</v>
      </c>
      <c r="B486" t="s">
        <v>480</v>
      </c>
      <c r="C486" t="s">
        <v>8</v>
      </c>
      <c r="D486" t="s">
        <v>788</v>
      </c>
      <c r="E486" t="s">
        <v>778</v>
      </c>
      <c r="F486">
        <v>7827</v>
      </c>
      <c r="G486" s="2">
        <f t="shared" si="7"/>
        <v>1174.05</v>
      </c>
      <c r="H486">
        <v>3</v>
      </c>
    </row>
    <row r="487" spans="1:8" x14ac:dyDescent="0.25">
      <c r="A487" s="1">
        <v>45347</v>
      </c>
      <c r="B487" t="s">
        <v>481</v>
      </c>
      <c r="C487" t="s">
        <v>3</v>
      </c>
      <c r="D487" t="s">
        <v>786</v>
      </c>
      <c r="E487" t="s">
        <v>778</v>
      </c>
      <c r="F487">
        <v>76505</v>
      </c>
      <c r="G487" s="2">
        <f t="shared" si="7"/>
        <v>11475.75</v>
      </c>
      <c r="H487">
        <v>1</v>
      </c>
    </row>
    <row r="488" spans="1:8" x14ac:dyDescent="0.25">
      <c r="A488" s="1">
        <v>45330</v>
      </c>
      <c r="B488" t="s">
        <v>482</v>
      </c>
      <c r="C488" t="s">
        <v>7</v>
      </c>
      <c r="D488" t="s">
        <v>788</v>
      </c>
      <c r="E488" t="s">
        <v>778</v>
      </c>
      <c r="F488">
        <v>9919</v>
      </c>
      <c r="G488" s="2">
        <f t="shared" si="7"/>
        <v>1487.85</v>
      </c>
      <c r="H488">
        <v>5</v>
      </c>
    </row>
    <row r="489" spans="1:8" x14ac:dyDescent="0.25">
      <c r="A489" s="1">
        <v>45521</v>
      </c>
      <c r="B489" t="s">
        <v>483</v>
      </c>
      <c r="C489" t="s">
        <v>6</v>
      </c>
      <c r="D489" t="s">
        <v>787</v>
      </c>
      <c r="E489" t="s">
        <v>780</v>
      </c>
      <c r="F489">
        <v>1290</v>
      </c>
      <c r="G489" s="2">
        <f t="shared" si="7"/>
        <v>193.5</v>
      </c>
      <c r="H489">
        <v>5</v>
      </c>
    </row>
    <row r="490" spans="1:8" x14ac:dyDescent="0.25">
      <c r="A490" s="1">
        <v>45521</v>
      </c>
      <c r="B490" t="s">
        <v>484</v>
      </c>
      <c r="C490" t="s">
        <v>8</v>
      </c>
      <c r="D490" t="s">
        <v>788</v>
      </c>
      <c r="E490" t="s">
        <v>779</v>
      </c>
      <c r="F490">
        <v>12665</v>
      </c>
      <c r="G490" s="2">
        <f t="shared" si="7"/>
        <v>1899.75</v>
      </c>
      <c r="H490">
        <v>3</v>
      </c>
    </row>
    <row r="491" spans="1:8" x14ac:dyDescent="0.25">
      <c r="A491" s="1">
        <v>45438</v>
      </c>
      <c r="B491" t="s">
        <v>485</v>
      </c>
      <c r="C491" t="s">
        <v>8</v>
      </c>
      <c r="D491" t="s">
        <v>788</v>
      </c>
      <c r="E491" t="s">
        <v>778</v>
      </c>
      <c r="F491">
        <v>46332</v>
      </c>
      <c r="G491" s="2">
        <f t="shared" si="7"/>
        <v>6949.8</v>
      </c>
      <c r="H491">
        <v>4</v>
      </c>
    </row>
    <row r="492" spans="1:8" x14ac:dyDescent="0.25">
      <c r="A492" s="1">
        <v>45308</v>
      </c>
      <c r="B492" t="s">
        <v>486</v>
      </c>
      <c r="C492" t="s">
        <v>4</v>
      </c>
      <c r="D492" t="s">
        <v>786</v>
      </c>
      <c r="E492" t="s">
        <v>778</v>
      </c>
      <c r="F492">
        <v>67979</v>
      </c>
      <c r="G492" s="2">
        <f t="shared" si="7"/>
        <v>10196.85</v>
      </c>
      <c r="H492">
        <v>3</v>
      </c>
    </row>
    <row r="493" spans="1:8" x14ac:dyDescent="0.25">
      <c r="A493" s="1">
        <v>45314</v>
      </c>
      <c r="B493" t="s">
        <v>487</v>
      </c>
      <c r="C493" t="s">
        <v>7</v>
      </c>
      <c r="D493" t="s">
        <v>788</v>
      </c>
      <c r="E493" t="s">
        <v>780</v>
      </c>
      <c r="F493">
        <v>7187</v>
      </c>
      <c r="G493" s="2">
        <f t="shared" si="7"/>
        <v>1078.05</v>
      </c>
      <c r="H493">
        <v>5</v>
      </c>
    </row>
    <row r="494" spans="1:8" x14ac:dyDescent="0.25">
      <c r="A494" s="1">
        <v>45327</v>
      </c>
      <c r="B494" t="s">
        <v>488</v>
      </c>
      <c r="C494" t="s">
        <v>4</v>
      </c>
      <c r="D494" t="s">
        <v>786</v>
      </c>
      <c r="E494" t="s">
        <v>779</v>
      </c>
      <c r="F494">
        <v>38619</v>
      </c>
      <c r="G494" s="2">
        <f t="shared" si="7"/>
        <v>5792.8499999999995</v>
      </c>
      <c r="H494">
        <v>1</v>
      </c>
    </row>
    <row r="495" spans="1:8" x14ac:dyDescent="0.25">
      <c r="A495" s="1">
        <v>45358</v>
      </c>
      <c r="B495" t="s">
        <v>489</v>
      </c>
      <c r="C495" t="s">
        <v>8</v>
      </c>
      <c r="D495" t="s">
        <v>788</v>
      </c>
      <c r="E495" t="s">
        <v>780</v>
      </c>
      <c r="F495">
        <v>55020</v>
      </c>
      <c r="G495" s="2">
        <f t="shared" si="7"/>
        <v>8253</v>
      </c>
      <c r="H495">
        <v>3</v>
      </c>
    </row>
    <row r="496" spans="1:8" x14ac:dyDescent="0.25">
      <c r="A496" s="1">
        <v>45338</v>
      </c>
      <c r="B496" t="s">
        <v>490</v>
      </c>
      <c r="C496" t="s">
        <v>3</v>
      </c>
      <c r="D496" t="s">
        <v>786</v>
      </c>
      <c r="E496" t="s">
        <v>779</v>
      </c>
      <c r="F496">
        <v>49508</v>
      </c>
      <c r="G496" s="2">
        <f t="shared" si="7"/>
        <v>7426.2</v>
      </c>
      <c r="H496">
        <v>4</v>
      </c>
    </row>
    <row r="497" spans="1:8" x14ac:dyDescent="0.25">
      <c r="A497" s="1">
        <v>45315</v>
      </c>
      <c r="B497" t="s">
        <v>491</v>
      </c>
      <c r="C497" t="s">
        <v>3</v>
      </c>
      <c r="D497" t="s">
        <v>786</v>
      </c>
      <c r="E497" t="s">
        <v>781</v>
      </c>
      <c r="F497">
        <v>76002</v>
      </c>
      <c r="G497" s="2">
        <f t="shared" si="7"/>
        <v>11400.3</v>
      </c>
      <c r="H497">
        <v>2</v>
      </c>
    </row>
    <row r="498" spans="1:8" x14ac:dyDescent="0.25">
      <c r="A498" s="1">
        <v>45486</v>
      </c>
      <c r="B498" t="s">
        <v>492</v>
      </c>
      <c r="C498" t="s">
        <v>5</v>
      </c>
      <c r="D498" t="s">
        <v>787</v>
      </c>
      <c r="E498" t="s">
        <v>779</v>
      </c>
      <c r="F498">
        <v>45837</v>
      </c>
      <c r="G498" s="2">
        <f t="shared" si="7"/>
        <v>6875.55</v>
      </c>
      <c r="H498">
        <v>4</v>
      </c>
    </row>
    <row r="499" spans="1:8" x14ac:dyDescent="0.25">
      <c r="A499" s="1">
        <v>45448</v>
      </c>
      <c r="B499" t="s">
        <v>493</v>
      </c>
      <c r="C499" t="s">
        <v>7</v>
      </c>
      <c r="D499" t="s">
        <v>788</v>
      </c>
      <c r="E499" t="s">
        <v>778</v>
      </c>
      <c r="F499">
        <v>79799</v>
      </c>
      <c r="G499" s="2">
        <f t="shared" si="7"/>
        <v>11969.85</v>
      </c>
      <c r="H499">
        <v>4</v>
      </c>
    </row>
    <row r="500" spans="1:8" x14ac:dyDescent="0.25">
      <c r="A500" s="1">
        <v>45481</v>
      </c>
      <c r="B500" t="s">
        <v>494</v>
      </c>
      <c r="C500" t="s">
        <v>5</v>
      </c>
      <c r="D500" t="s">
        <v>787</v>
      </c>
      <c r="E500" t="s">
        <v>780</v>
      </c>
      <c r="F500">
        <v>34821</v>
      </c>
      <c r="G500" s="2">
        <f t="shared" si="7"/>
        <v>5223.1499999999996</v>
      </c>
      <c r="H500">
        <v>3</v>
      </c>
    </row>
    <row r="501" spans="1:8" x14ac:dyDescent="0.25">
      <c r="A501" s="1">
        <v>45527</v>
      </c>
      <c r="B501" t="s">
        <v>495</v>
      </c>
      <c r="C501" t="s">
        <v>5</v>
      </c>
      <c r="D501" t="s">
        <v>787</v>
      </c>
      <c r="E501" t="s">
        <v>780</v>
      </c>
      <c r="F501">
        <v>70966</v>
      </c>
      <c r="G501" s="2">
        <f t="shared" si="7"/>
        <v>10644.9</v>
      </c>
      <c r="H501">
        <v>4</v>
      </c>
    </row>
    <row r="502" spans="1:8" x14ac:dyDescent="0.25">
      <c r="A502" s="1">
        <v>45421</v>
      </c>
      <c r="B502" t="s">
        <v>496</v>
      </c>
      <c r="C502" t="s">
        <v>6</v>
      </c>
      <c r="D502" t="s">
        <v>787</v>
      </c>
      <c r="E502" t="s">
        <v>778</v>
      </c>
      <c r="F502">
        <v>49648</v>
      </c>
      <c r="G502" s="2">
        <f t="shared" si="7"/>
        <v>7447.2</v>
      </c>
      <c r="H502">
        <v>2</v>
      </c>
    </row>
    <row r="503" spans="1:8" x14ac:dyDescent="0.25">
      <c r="A503" s="1">
        <v>45507</v>
      </c>
      <c r="B503" t="s">
        <v>497</v>
      </c>
      <c r="C503" t="s">
        <v>7</v>
      </c>
      <c r="D503" t="s">
        <v>788</v>
      </c>
      <c r="E503" t="s">
        <v>780</v>
      </c>
      <c r="F503">
        <v>52715</v>
      </c>
      <c r="G503" s="2">
        <f t="shared" si="7"/>
        <v>7907.25</v>
      </c>
      <c r="H503">
        <v>2</v>
      </c>
    </row>
    <row r="504" spans="1:8" x14ac:dyDescent="0.25">
      <c r="A504" s="1">
        <v>45487</v>
      </c>
      <c r="B504" t="s">
        <v>216</v>
      </c>
      <c r="C504" t="s">
        <v>5</v>
      </c>
      <c r="D504" t="s">
        <v>787</v>
      </c>
      <c r="E504" t="s">
        <v>778</v>
      </c>
      <c r="F504">
        <v>65589</v>
      </c>
      <c r="G504" s="2">
        <f t="shared" si="7"/>
        <v>9838.35</v>
      </c>
      <c r="H504">
        <v>1</v>
      </c>
    </row>
    <row r="505" spans="1:8" x14ac:dyDescent="0.25">
      <c r="A505" s="1">
        <v>45439</v>
      </c>
      <c r="B505" t="s">
        <v>498</v>
      </c>
      <c r="C505" t="s">
        <v>7</v>
      </c>
      <c r="D505" t="s">
        <v>788</v>
      </c>
      <c r="E505" t="s">
        <v>778</v>
      </c>
      <c r="F505">
        <v>9677</v>
      </c>
      <c r="G505" s="2">
        <f t="shared" si="7"/>
        <v>1451.55</v>
      </c>
      <c r="H505">
        <v>4</v>
      </c>
    </row>
    <row r="506" spans="1:8" x14ac:dyDescent="0.25">
      <c r="A506" s="1">
        <v>45315</v>
      </c>
      <c r="B506" t="s">
        <v>499</v>
      </c>
      <c r="C506" t="s">
        <v>7</v>
      </c>
      <c r="D506" t="s">
        <v>788</v>
      </c>
      <c r="E506" t="s">
        <v>781</v>
      </c>
      <c r="F506">
        <v>25009</v>
      </c>
      <c r="G506" s="2">
        <f t="shared" si="7"/>
        <v>3751.35</v>
      </c>
      <c r="H506">
        <v>4</v>
      </c>
    </row>
    <row r="507" spans="1:8" x14ac:dyDescent="0.25">
      <c r="A507" s="1">
        <v>45603</v>
      </c>
      <c r="B507" t="s">
        <v>500</v>
      </c>
      <c r="C507" t="s">
        <v>7</v>
      </c>
      <c r="D507" t="s">
        <v>788</v>
      </c>
      <c r="E507" t="s">
        <v>781</v>
      </c>
      <c r="F507">
        <v>68758</v>
      </c>
      <c r="G507" s="2">
        <f t="shared" si="7"/>
        <v>10313.699999999999</v>
      </c>
      <c r="H507">
        <v>3</v>
      </c>
    </row>
    <row r="508" spans="1:8" x14ac:dyDescent="0.25">
      <c r="A508" s="1">
        <v>45559</v>
      </c>
      <c r="B508" t="s">
        <v>501</v>
      </c>
      <c r="C508" t="s">
        <v>7</v>
      </c>
      <c r="D508" t="s">
        <v>788</v>
      </c>
      <c r="E508" t="s">
        <v>780</v>
      </c>
      <c r="F508">
        <v>55391</v>
      </c>
      <c r="G508" s="2">
        <f t="shared" si="7"/>
        <v>8308.65</v>
      </c>
      <c r="H508">
        <v>3</v>
      </c>
    </row>
    <row r="509" spans="1:8" x14ac:dyDescent="0.25">
      <c r="A509" s="1">
        <v>45469</v>
      </c>
      <c r="B509" t="s">
        <v>502</v>
      </c>
      <c r="C509" t="s">
        <v>4</v>
      </c>
      <c r="D509" t="s">
        <v>786</v>
      </c>
      <c r="E509" t="s">
        <v>780</v>
      </c>
      <c r="F509">
        <v>78071</v>
      </c>
      <c r="G509" s="2">
        <f t="shared" si="7"/>
        <v>11710.65</v>
      </c>
      <c r="H509">
        <v>1</v>
      </c>
    </row>
    <row r="510" spans="1:8" x14ac:dyDescent="0.25">
      <c r="A510" s="1">
        <v>45302</v>
      </c>
      <c r="B510" t="s">
        <v>503</v>
      </c>
      <c r="C510" t="s">
        <v>8</v>
      </c>
      <c r="D510" t="s">
        <v>788</v>
      </c>
      <c r="E510" t="s">
        <v>778</v>
      </c>
      <c r="F510">
        <v>57361</v>
      </c>
      <c r="G510" s="2">
        <f t="shared" si="7"/>
        <v>8604.15</v>
      </c>
      <c r="H510">
        <v>1</v>
      </c>
    </row>
    <row r="511" spans="1:8" x14ac:dyDescent="0.25">
      <c r="A511" s="1">
        <v>45295</v>
      </c>
      <c r="B511" t="s">
        <v>504</v>
      </c>
      <c r="C511" t="s">
        <v>7</v>
      </c>
      <c r="D511" t="s">
        <v>788</v>
      </c>
      <c r="E511" t="s">
        <v>781</v>
      </c>
      <c r="F511">
        <v>3244</v>
      </c>
      <c r="G511" s="2">
        <f t="shared" si="7"/>
        <v>486.59999999999997</v>
      </c>
      <c r="H511">
        <v>4</v>
      </c>
    </row>
    <row r="512" spans="1:8" x14ac:dyDescent="0.25">
      <c r="A512" s="1">
        <v>45440</v>
      </c>
      <c r="B512" t="s">
        <v>505</v>
      </c>
      <c r="C512" t="s">
        <v>6</v>
      </c>
      <c r="D512" t="s">
        <v>787</v>
      </c>
      <c r="E512" t="s">
        <v>780</v>
      </c>
      <c r="F512">
        <v>22023</v>
      </c>
      <c r="G512" s="2">
        <f t="shared" si="7"/>
        <v>3303.45</v>
      </c>
      <c r="H512">
        <v>1</v>
      </c>
    </row>
    <row r="513" spans="1:8" x14ac:dyDescent="0.25">
      <c r="A513" s="1">
        <v>45593</v>
      </c>
      <c r="B513" t="s">
        <v>506</v>
      </c>
      <c r="C513" t="s">
        <v>7</v>
      </c>
      <c r="D513" t="s">
        <v>788</v>
      </c>
      <c r="E513" t="s">
        <v>781</v>
      </c>
      <c r="F513">
        <v>31542</v>
      </c>
      <c r="G513" s="2">
        <f t="shared" si="7"/>
        <v>4731.3</v>
      </c>
      <c r="H513">
        <v>5</v>
      </c>
    </row>
    <row r="514" spans="1:8" x14ac:dyDescent="0.25">
      <c r="A514" s="1">
        <v>45449</v>
      </c>
      <c r="B514" t="s">
        <v>507</v>
      </c>
      <c r="C514" t="s">
        <v>6</v>
      </c>
      <c r="D514" t="s">
        <v>787</v>
      </c>
      <c r="E514" t="s">
        <v>780</v>
      </c>
      <c r="F514">
        <v>40219</v>
      </c>
      <c r="G514" s="2">
        <f t="shared" si="7"/>
        <v>6032.8499999999995</v>
      </c>
      <c r="H514">
        <v>1</v>
      </c>
    </row>
    <row r="515" spans="1:8" x14ac:dyDescent="0.25">
      <c r="A515" s="1">
        <v>45417</v>
      </c>
      <c r="B515" t="s">
        <v>508</v>
      </c>
      <c r="C515" t="s">
        <v>7</v>
      </c>
      <c r="D515" t="s">
        <v>788</v>
      </c>
      <c r="E515" t="s">
        <v>778</v>
      </c>
      <c r="F515">
        <v>42695</v>
      </c>
      <c r="G515" s="2">
        <f t="shared" ref="G515:G578" si="8">F515*0.15</f>
        <v>6404.25</v>
      </c>
      <c r="H515">
        <v>3</v>
      </c>
    </row>
    <row r="516" spans="1:8" x14ac:dyDescent="0.25">
      <c r="A516" s="1">
        <v>45406</v>
      </c>
      <c r="B516" t="s">
        <v>509</v>
      </c>
      <c r="C516" t="s">
        <v>4</v>
      </c>
      <c r="D516" t="s">
        <v>786</v>
      </c>
      <c r="E516" t="s">
        <v>779</v>
      </c>
      <c r="F516">
        <v>11892</v>
      </c>
      <c r="G516" s="2">
        <f t="shared" si="8"/>
        <v>1783.8</v>
      </c>
      <c r="H516">
        <v>2</v>
      </c>
    </row>
    <row r="517" spans="1:8" x14ac:dyDescent="0.25">
      <c r="A517" s="1">
        <v>45328</v>
      </c>
      <c r="B517" t="s">
        <v>510</v>
      </c>
      <c r="C517" t="s">
        <v>6</v>
      </c>
      <c r="D517" t="s">
        <v>787</v>
      </c>
      <c r="E517" t="s">
        <v>781</v>
      </c>
      <c r="F517">
        <v>57477</v>
      </c>
      <c r="G517" s="2">
        <f t="shared" si="8"/>
        <v>8621.5499999999993</v>
      </c>
      <c r="H517">
        <v>4</v>
      </c>
    </row>
    <row r="518" spans="1:8" x14ac:dyDescent="0.25">
      <c r="A518" s="1">
        <v>45521</v>
      </c>
      <c r="B518" t="s">
        <v>511</v>
      </c>
      <c r="C518" t="s">
        <v>7</v>
      </c>
      <c r="D518" t="s">
        <v>788</v>
      </c>
      <c r="E518" t="s">
        <v>781</v>
      </c>
      <c r="F518">
        <v>26254</v>
      </c>
      <c r="G518" s="2">
        <f t="shared" si="8"/>
        <v>3938.1</v>
      </c>
      <c r="H518">
        <v>4</v>
      </c>
    </row>
    <row r="519" spans="1:8" x14ac:dyDescent="0.25">
      <c r="A519" s="1">
        <v>45392</v>
      </c>
      <c r="B519" t="s">
        <v>512</v>
      </c>
      <c r="C519" t="s">
        <v>3</v>
      </c>
      <c r="D519" t="s">
        <v>786</v>
      </c>
      <c r="E519" t="s">
        <v>780</v>
      </c>
      <c r="F519">
        <v>49686</v>
      </c>
      <c r="G519" s="2">
        <f t="shared" si="8"/>
        <v>7452.9</v>
      </c>
      <c r="H519">
        <v>4</v>
      </c>
    </row>
    <row r="520" spans="1:8" x14ac:dyDescent="0.25">
      <c r="A520" s="1">
        <v>45484</v>
      </c>
      <c r="B520" t="s">
        <v>513</v>
      </c>
      <c r="C520" t="s">
        <v>4</v>
      </c>
      <c r="D520" t="s">
        <v>786</v>
      </c>
      <c r="E520" t="s">
        <v>780</v>
      </c>
      <c r="F520">
        <v>34088</v>
      </c>
      <c r="G520" s="2">
        <f t="shared" si="8"/>
        <v>5113.2</v>
      </c>
      <c r="H520">
        <v>2</v>
      </c>
    </row>
    <row r="521" spans="1:8" x14ac:dyDescent="0.25">
      <c r="A521" s="1">
        <v>45513</v>
      </c>
      <c r="B521" t="s">
        <v>514</v>
      </c>
      <c r="C521" t="s">
        <v>4</v>
      </c>
      <c r="D521" t="s">
        <v>786</v>
      </c>
      <c r="E521" t="s">
        <v>781</v>
      </c>
      <c r="F521">
        <v>31659</v>
      </c>
      <c r="G521" s="2">
        <f t="shared" si="8"/>
        <v>4748.8499999999995</v>
      </c>
      <c r="H521">
        <v>5</v>
      </c>
    </row>
    <row r="522" spans="1:8" x14ac:dyDescent="0.25">
      <c r="A522" s="1">
        <v>45587</v>
      </c>
      <c r="B522" t="s">
        <v>515</v>
      </c>
      <c r="C522" t="s">
        <v>8</v>
      </c>
      <c r="D522" t="s">
        <v>788</v>
      </c>
      <c r="E522" t="s">
        <v>778</v>
      </c>
      <c r="F522">
        <v>77369</v>
      </c>
      <c r="G522" s="2">
        <f t="shared" si="8"/>
        <v>11605.35</v>
      </c>
      <c r="H522">
        <v>5</v>
      </c>
    </row>
    <row r="523" spans="1:8" x14ac:dyDescent="0.25">
      <c r="A523" s="1">
        <v>45461</v>
      </c>
      <c r="B523" t="s">
        <v>516</v>
      </c>
      <c r="C523" t="s">
        <v>6</v>
      </c>
      <c r="D523" t="s">
        <v>787</v>
      </c>
      <c r="E523" t="s">
        <v>779</v>
      </c>
      <c r="F523">
        <v>1088</v>
      </c>
      <c r="G523" s="2">
        <f t="shared" si="8"/>
        <v>163.19999999999999</v>
      </c>
      <c r="H523">
        <v>3</v>
      </c>
    </row>
    <row r="524" spans="1:8" x14ac:dyDescent="0.25">
      <c r="A524" s="1">
        <v>45451</v>
      </c>
      <c r="B524" t="s">
        <v>517</v>
      </c>
      <c r="C524" t="s">
        <v>8</v>
      </c>
      <c r="D524" t="s">
        <v>788</v>
      </c>
      <c r="E524" t="s">
        <v>779</v>
      </c>
      <c r="F524">
        <v>62362</v>
      </c>
      <c r="G524" s="2">
        <f t="shared" si="8"/>
        <v>9354.2999999999993</v>
      </c>
      <c r="H524">
        <v>1</v>
      </c>
    </row>
    <row r="525" spans="1:8" x14ac:dyDescent="0.25">
      <c r="A525" s="1">
        <v>45439</v>
      </c>
      <c r="B525" t="s">
        <v>518</v>
      </c>
      <c r="C525" t="s">
        <v>3</v>
      </c>
      <c r="D525" t="s">
        <v>786</v>
      </c>
      <c r="E525" t="s">
        <v>781</v>
      </c>
      <c r="F525">
        <v>78097</v>
      </c>
      <c r="G525" s="2">
        <f t="shared" si="8"/>
        <v>11714.55</v>
      </c>
      <c r="H525">
        <v>3</v>
      </c>
    </row>
    <row r="526" spans="1:8" x14ac:dyDescent="0.25">
      <c r="A526" s="1">
        <v>45457</v>
      </c>
      <c r="B526" t="s">
        <v>519</v>
      </c>
      <c r="C526" t="s">
        <v>4</v>
      </c>
      <c r="D526" t="s">
        <v>786</v>
      </c>
      <c r="E526" t="s">
        <v>781</v>
      </c>
      <c r="F526">
        <v>74861</v>
      </c>
      <c r="G526" s="2">
        <f t="shared" si="8"/>
        <v>11229.15</v>
      </c>
      <c r="H526">
        <v>4</v>
      </c>
    </row>
    <row r="527" spans="1:8" x14ac:dyDescent="0.25">
      <c r="A527" s="1">
        <v>45318</v>
      </c>
      <c r="B527" t="s">
        <v>520</v>
      </c>
      <c r="C527" t="s">
        <v>8</v>
      </c>
      <c r="D527" t="s">
        <v>788</v>
      </c>
      <c r="E527" t="s">
        <v>779</v>
      </c>
      <c r="F527">
        <v>76075</v>
      </c>
      <c r="G527" s="2">
        <f t="shared" si="8"/>
        <v>11411.25</v>
      </c>
      <c r="H527">
        <v>3</v>
      </c>
    </row>
    <row r="528" spans="1:8" x14ac:dyDescent="0.25">
      <c r="A528" s="1">
        <v>45608</v>
      </c>
      <c r="B528" t="s">
        <v>521</v>
      </c>
      <c r="C528" t="s">
        <v>5</v>
      </c>
      <c r="D528" t="s">
        <v>787</v>
      </c>
      <c r="E528" t="s">
        <v>781</v>
      </c>
      <c r="F528">
        <v>40810</v>
      </c>
      <c r="G528" s="2">
        <f t="shared" si="8"/>
        <v>6121.5</v>
      </c>
      <c r="H528">
        <v>4</v>
      </c>
    </row>
    <row r="529" spans="1:8" x14ac:dyDescent="0.25">
      <c r="A529" s="1">
        <v>45524</v>
      </c>
      <c r="B529" t="s">
        <v>522</v>
      </c>
      <c r="C529" t="s">
        <v>5</v>
      </c>
      <c r="D529" t="s">
        <v>787</v>
      </c>
      <c r="E529" t="s">
        <v>780</v>
      </c>
      <c r="F529">
        <v>70767</v>
      </c>
      <c r="G529" s="2">
        <f t="shared" si="8"/>
        <v>10615.05</v>
      </c>
      <c r="H529">
        <v>5</v>
      </c>
    </row>
    <row r="530" spans="1:8" x14ac:dyDescent="0.25">
      <c r="A530" s="1">
        <v>45632</v>
      </c>
      <c r="B530" t="s">
        <v>523</v>
      </c>
      <c r="C530" t="s">
        <v>3</v>
      </c>
      <c r="D530" t="s">
        <v>786</v>
      </c>
      <c r="E530" t="s">
        <v>781</v>
      </c>
      <c r="F530">
        <v>31847</v>
      </c>
      <c r="G530" s="2">
        <f t="shared" si="8"/>
        <v>4777.05</v>
      </c>
      <c r="H530">
        <v>1</v>
      </c>
    </row>
    <row r="531" spans="1:8" x14ac:dyDescent="0.25">
      <c r="A531" s="1">
        <v>45559</v>
      </c>
      <c r="B531" t="s">
        <v>524</v>
      </c>
      <c r="C531" t="s">
        <v>7</v>
      </c>
      <c r="D531" t="s">
        <v>788</v>
      </c>
      <c r="E531" t="s">
        <v>780</v>
      </c>
      <c r="F531">
        <v>25896</v>
      </c>
      <c r="G531" s="2">
        <f t="shared" si="8"/>
        <v>3884.3999999999996</v>
      </c>
      <c r="H531">
        <v>2</v>
      </c>
    </row>
    <row r="532" spans="1:8" x14ac:dyDescent="0.25">
      <c r="A532" s="1">
        <v>45356</v>
      </c>
      <c r="B532" t="s">
        <v>525</v>
      </c>
      <c r="C532" t="s">
        <v>6</v>
      </c>
      <c r="D532" t="s">
        <v>787</v>
      </c>
      <c r="E532" t="s">
        <v>781</v>
      </c>
      <c r="F532">
        <v>42086</v>
      </c>
      <c r="G532" s="2">
        <f t="shared" si="8"/>
        <v>6312.9</v>
      </c>
      <c r="H532">
        <v>3</v>
      </c>
    </row>
    <row r="533" spans="1:8" x14ac:dyDescent="0.25">
      <c r="A533" s="1">
        <v>45588</v>
      </c>
      <c r="B533" t="s">
        <v>526</v>
      </c>
      <c r="C533" t="s">
        <v>4</v>
      </c>
      <c r="D533" t="s">
        <v>786</v>
      </c>
      <c r="E533" t="s">
        <v>781</v>
      </c>
      <c r="F533">
        <v>847</v>
      </c>
      <c r="G533" s="2">
        <f t="shared" si="8"/>
        <v>127.05</v>
      </c>
      <c r="H533">
        <v>1</v>
      </c>
    </row>
    <row r="534" spans="1:8" x14ac:dyDescent="0.25">
      <c r="A534" s="1">
        <v>45337</v>
      </c>
      <c r="B534" t="s">
        <v>527</v>
      </c>
      <c r="C534" t="s">
        <v>8</v>
      </c>
      <c r="D534" t="s">
        <v>788</v>
      </c>
      <c r="E534" t="s">
        <v>779</v>
      </c>
      <c r="F534">
        <v>31413</v>
      </c>
      <c r="G534" s="2">
        <f t="shared" si="8"/>
        <v>4711.95</v>
      </c>
      <c r="H534">
        <v>4</v>
      </c>
    </row>
    <row r="535" spans="1:8" x14ac:dyDescent="0.25">
      <c r="A535" s="1">
        <v>45423</v>
      </c>
      <c r="B535" t="s">
        <v>528</v>
      </c>
      <c r="C535" t="s">
        <v>5</v>
      </c>
      <c r="D535" t="s">
        <v>787</v>
      </c>
      <c r="E535" t="s">
        <v>779</v>
      </c>
      <c r="F535">
        <v>49851</v>
      </c>
      <c r="G535" s="2">
        <f t="shared" si="8"/>
        <v>7477.65</v>
      </c>
      <c r="H535">
        <v>1</v>
      </c>
    </row>
    <row r="536" spans="1:8" x14ac:dyDescent="0.25">
      <c r="A536" s="1">
        <v>45607</v>
      </c>
      <c r="B536" t="s">
        <v>529</v>
      </c>
      <c r="C536" t="s">
        <v>4</v>
      </c>
      <c r="D536" t="s">
        <v>786</v>
      </c>
      <c r="E536" t="s">
        <v>781</v>
      </c>
      <c r="F536">
        <v>23722</v>
      </c>
      <c r="G536" s="2">
        <f t="shared" si="8"/>
        <v>3558.2999999999997</v>
      </c>
      <c r="H536">
        <v>5</v>
      </c>
    </row>
    <row r="537" spans="1:8" x14ac:dyDescent="0.25">
      <c r="A537" s="1">
        <v>45640</v>
      </c>
      <c r="B537" t="s">
        <v>530</v>
      </c>
      <c r="C537" t="s">
        <v>6</v>
      </c>
      <c r="D537" t="s">
        <v>787</v>
      </c>
      <c r="E537" t="s">
        <v>779</v>
      </c>
      <c r="F537">
        <v>16818</v>
      </c>
      <c r="G537" s="2">
        <f t="shared" si="8"/>
        <v>2522.6999999999998</v>
      </c>
      <c r="H537">
        <v>4</v>
      </c>
    </row>
    <row r="538" spans="1:8" x14ac:dyDescent="0.25">
      <c r="A538" s="1">
        <v>45463</v>
      </c>
      <c r="B538" t="s">
        <v>531</v>
      </c>
      <c r="C538" t="s">
        <v>5</v>
      </c>
      <c r="D538" t="s">
        <v>787</v>
      </c>
      <c r="E538" t="s">
        <v>781</v>
      </c>
      <c r="F538">
        <v>15183</v>
      </c>
      <c r="G538" s="2">
        <f t="shared" si="8"/>
        <v>2277.4499999999998</v>
      </c>
      <c r="H538">
        <v>3</v>
      </c>
    </row>
    <row r="539" spans="1:8" x14ac:dyDescent="0.25">
      <c r="A539" s="1">
        <v>45609</v>
      </c>
      <c r="B539" t="s">
        <v>532</v>
      </c>
      <c r="C539" t="s">
        <v>3</v>
      </c>
      <c r="D539" t="s">
        <v>786</v>
      </c>
      <c r="E539" t="s">
        <v>781</v>
      </c>
      <c r="F539">
        <v>19849</v>
      </c>
      <c r="G539" s="2">
        <f t="shared" si="8"/>
        <v>2977.35</v>
      </c>
      <c r="H539">
        <v>2</v>
      </c>
    </row>
    <row r="540" spans="1:8" x14ac:dyDescent="0.25">
      <c r="A540" s="1">
        <v>45539</v>
      </c>
      <c r="B540" t="s">
        <v>533</v>
      </c>
      <c r="C540" t="s">
        <v>6</v>
      </c>
      <c r="D540" t="s">
        <v>787</v>
      </c>
      <c r="E540" t="s">
        <v>780</v>
      </c>
      <c r="F540">
        <v>13227</v>
      </c>
      <c r="G540" s="2">
        <f t="shared" si="8"/>
        <v>1984.05</v>
      </c>
      <c r="H540">
        <v>4</v>
      </c>
    </row>
    <row r="541" spans="1:8" x14ac:dyDescent="0.25">
      <c r="A541" s="1">
        <v>45355</v>
      </c>
      <c r="B541" t="s">
        <v>534</v>
      </c>
      <c r="C541" t="s">
        <v>7</v>
      </c>
      <c r="D541" t="s">
        <v>788</v>
      </c>
      <c r="E541" t="s">
        <v>778</v>
      </c>
      <c r="F541">
        <v>749</v>
      </c>
      <c r="G541" s="2">
        <f t="shared" si="8"/>
        <v>112.35</v>
      </c>
      <c r="H541">
        <v>5</v>
      </c>
    </row>
    <row r="542" spans="1:8" x14ac:dyDescent="0.25">
      <c r="A542" s="1">
        <v>45490</v>
      </c>
      <c r="B542" t="s">
        <v>535</v>
      </c>
      <c r="C542" t="s">
        <v>8</v>
      </c>
      <c r="D542" t="s">
        <v>788</v>
      </c>
      <c r="E542" t="s">
        <v>778</v>
      </c>
      <c r="F542">
        <v>14923</v>
      </c>
      <c r="G542" s="2">
        <f t="shared" si="8"/>
        <v>2238.4499999999998</v>
      </c>
      <c r="H542">
        <v>4</v>
      </c>
    </row>
    <row r="543" spans="1:8" x14ac:dyDescent="0.25">
      <c r="A543" s="1">
        <v>45545</v>
      </c>
      <c r="B543" t="s">
        <v>536</v>
      </c>
      <c r="C543" t="s">
        <v>4</v>
      </c>
      <c r="D543" t="s">
        <v>786</v>
      </c>
      <c r="E543" t="s">
        <v>780</v>
      </c>
      <c r="F543">
        <v>64111</v>
      </c>
      <c r="G543" s="2">
        <f t="shared" si="8"/>
        <v>9616.65</v>
      </c>
      <c r="H543">
        <v>1</v>
      </c>
    </row>
    <row r="544" spans="1:8" x14ac:dyDescent="0.25">
      <c r="A544" s="1">
        <v>45312</v>
      </c>
      <c r="B544" t="s">
        <v>537</v>
      </c>
      <c r="C544" t="s">
        <v>4</v>
      </c>
      <c r="D544" t="s">
        <v>786</v>
      </c>
      <c r="E544" t="s">
        <v>780</v>
      </c>
      <c r="F544">
        <v>9165</v>
      </c>
      <c r="G544" s="2">
        <f t="shared" si="8"/>
        <v>1374.75</v>
      </c>
      <c r="H544">
        <v>4</v>
      </c>
    </row>
    <row r="545" spans="1:8" x14ac:dyDescent="0.25">
      <c r="A545" s="1">
        <v>45604</v>
      </c>
      <c r="B545" t="s">
        <v>538</v>
      </c>
      <c r="C545" t="s">
        <v>3</v>
      </c>
      <c r="D545" t="s">
        <v>786</v>
      </c>
      <c r="E545" t="s">
        <v>779</v>
      </c>
      <c r="F545">
        <v>35228</v>
      </c>
      <c r="G545" s="2">
        <f t="shared" si="8"/>
        <v>5284.2</v>
      </c>
      <c r="H545">
        <v>3</v>
      </c>
    </row>
    <row r="546" spans="1:8" x14ac:dyDescent="0.25">
      <c r="A546" s="1">
        <v>45366</v>
      </c>
      <c r="B546" t="s">
        <v>539</v>
      </c>
      <c r="C546" t="s">
        <v>7</v>
      </c>
      <c r="D546" t="s">
        <v>788</v>
      </c>
      <c r="E546" t="s">
        <v>779</v>
      </c>
      <c r="F546">
        <v>13976</v>
      </c>
      <c r="G546" s="2">
        <f t="shared" si="8"/>
        <v>2096.4</v>
      </c>
      <c r="H546">
        <v>5</v>
      </c>
    </row>
    <row r="547" spans="1:8" x14ac:dyDescent="0.25">
      <c r="A547" s="1">
        <v>45406</v>
      </c>
      <c r="B547" t="s">
        <v>540</v>
      </c>
      <c r="C547" t="s">
        <v>7</v>
      </c>
      <c r="D547" t="s">
        <v>788</v>
      </c>
      <c r="E547" t="s">
        <v>778</v>
      </c>
      <c r="F547">
        <v>30827</v>
      </c>
      <c r="G547" s="2">
        <f t="shared" si="8"/>
        <v>4624.05</v>
      </c>
      <c r="H547">
        <v>2</v>
      </c>
    </row>
    <row r="548" spans="1:8" x14ac:dyDescent="0.25">
      <c r="A548" s="1">
        <v>45454</v>
      </c>
      <c r="B548" t="s">
        <v>541</v>
      </c>
      <c r="C548" t="s">
        <v>8</v>
      </c>
      <c r="D548" t="s">
        <v>788</v>
      </c>
      <c r="E548" t="s">
        <v>780</v>
      </c>
      <c r="F548">
        <v>20187</v>
      </c>
      <c r="G548" s="2">
        <f t="shared" si="8"/>
        <v>3028.0499999999997</v>
      </c>
      <c r="H548">
        <v>4</v>
      </c>
    </row>
    <row r="549" spans="1:8" x14ac:dyDescent="0.25">
      <c r="A549" s="1">
        <v>45404</v>
      </c>
      <c r="B549" t="s">
        <v>542</v>
      </c>
      <c r="C549" t="s">
        <v>8</v>
      </c>
      <c r="D549" t="s">
        <v>788</v>
      </c>
      <c r="E549" t="s">
        <v>778</v>
      </c>
      <c r="F549">
        <v>77234</v>
      </c>
      <c r="G549" s="2">
        <f t="shared" si="8"/>
        <v>11585.1</v>
      </c>
      <c r="H549">
        <v>3</v>
      </c>
    </row>
    <row r="550" spans="1:8" x14ac:dyDescent="0.25">
      <c r="A550" s="1">
        <v>45435</v>
      </c>
      <c r="B550" t="s">
        <v>543</v>
      </c>
      <c r="C550" t="s">
        <v>6</v>
      </c>
      <c r="D550" t="s">
        <v>787</v>
      </c>
      <c r="E550" t="s">
        <v>781</v>
      </c>
      <c r="F550">
        <v>76277</v>
      </c>
      <c r="G550" s="2">
        <f t="shared" si="8"/>
        <v>11441.55</v>
      </c>
      <c r="H550">
        <v>4</v>
      </c>
    </row>
    <row r="551" spans="1:8" x14ac:dyDescent="0.25">
      <c r="A551" s="1">
        <v>45377</v>
      </c>
      <c r="B551" t="s">
        <v>544</v>
      </c>
      <c r="C551" t="s">
        <v>7</v>
      </c>
      <c r="D551" t="s">
        <v>788</v>
      </c>
      <c r="E551" t="s">
        <v>778</v>
      </c>
      <c r="F551">
        <v>3013</v>
      </c>
      <c r="G551" s="2">
        <f t="shared" si="8"/>
        <v>451.95</v>
      </c>
      <c r="H551">
        <v>4</v>
      </c>
    </row>
    <row r="552" spans="1:8" x14ac:dyDescent="0.25">
      <c r="A552" s="1">
        <v>45543</v>
      </c>
      <c r="B552" t="s">
        <v>545</v>
      </c>
      <c r="C552" t="s">
        <v>3</v>
      </c>
      <c r="D552" t="s">
        <v>786</v>
      </c>
      <c r="E552" t="s">
        <v>781</v>
      </c>
      <c r="F552">
        <v>37983</v>
      </c>
      <c r="G552" s="2">
        <f t="shared" si="8"/>
        <v>5697.45</v>
      </c>
      <c r="H552">
        <v>3</v>
      </c>
    </row>
    <row r="553" spans="1:8" x14ac:dyDescent="0.25">
      <c r="A553" s="1">
        <v>45428</v>
      </c>
      <c r="B553" t="s">
        <v>546</v>
      </c>
      <c r="C553" t="s">
        <v>7</v>
      </c>
      <c r="D553" t="s">
        <v>788</v>
      </c>
      <c r="E553" t="s">
        <v>780</v>
      </c>
      <c r="F553">
        <v>44585</v>
      </c>
      <c r="G553" s="2">
        <f t="shared" si="8"/>
        <v>6687.75</v>
      </c>
      <c r="H553">
        <v>5</v>
      </c>
    </row>
    <row r="554" spans="1:8" x14ac:dyDescent="0.25">
      <c r="A554" s="1">
        <v>45561</v>
      </c>
      <c r="B554" t="s">
        <v>547</v>
      </c>
      <c r="C554" t="s">
        <v>4</v>
      </c>
      <c r="D554" t="s">
        <v>786</v>
      </c>
      <c r="E554" t="s">
        <v>781</v>
      </c>
      <c r="F554">
        <v>39495</v>
      </c>
      <c r="G554" s="2">
        <f t="shared" si="8"/>
        <v>5924.25</v>
      </c>
      <c r="H554">
        <v>3</v>
      </c>
    </row>
    <row r="555" spans="1:8" x14ac:dyDescent="0.25">
      <c r="A555" s="1">
        <v>45513</v>
      </c>
      <c r="B555" t="s">
        <v>548</v>
      </c>
      <c r="C555" t="s">
        <v>7</v>
      </c>
      <c r="D555" t="s">
        <v>788</v>
      </c>
      <c r="E555" t="s">
        <v>779</v>
      </c>
      <c r="F555">
        <v>6773</v>
      </c>
      <c r="G555" s="2">
        <f t="shared" si="8"/>
        <v>1015.9499999999999</v>
      </c>
      <c r="H555">
        <v>3</v>
      </c>
    </row>
    <row r="556" spans="1:8" x14ac:dyDescent="0.25">
      <c r="A556" s="1">
        <v>45326</v>
      </c>
      <c r="B556" t="s">
        <v>549</v>
      </c>
      <c r="C556" t="s">
        <v>6</v>
      </c>
      <c r="D556" t="s">
        <v>787</v>
      </c>
      <c r="E556" t="s">
        <v>779</v>
      </c>
      <c r="F556">
        <v>40889</v>
      </c>
      <c r="G556" s="2">
        <f t="shared" si="8"/>
        <v>6133.3499999999995</v>
      </c>
      <c r="H556">
        <v>3</v>
      </c>
    </row>
    <row r="557" spans="1:8" x14ac:dyDescent="0.25">
      <c r="A557" s="1">
        <v>45580</v>
      </c>
      <c r="B557" t="s">
        <v>550</v>
      </c>
      <c r="C557" t="s">
        <v>6</v>
      </c>
      <c r="D557" t="s">
        <v>787</v>
      </c>
      <c r="E557" t="s">
        <v>778</v>
      </c>
      <c r="F557">
        <v>3815</v>
      </c>
      <c r="G557" s="2">
        <f t="shared" si="8"/>
        <v>572.25</v>
      </c>
      <c r="H557">
        <v>5</v>
      </c>
    </row>
    <row r="558" spans="1:8" x14ac:dyDescent="0.25">
      <c r="A558" s="1">
        <v>45305</v>
      </c>
      <c r="B558" t="s">
        <v>551</v>
      </c>
      <c r="C558" t="s">
        <v>3</v>
      </c>
      <c r="D558" t="s">
        <v>786</v>
      </c>
      <c r="E558" t="s">
        <v>778</v>
      </c>
      <c r="F558">
        <v>74992</v>
      </c>
      <c r="G558" s="2">
        <f t="shared" si="8"/>
        <v>11248.8</v>
      </c>
      <c r="H558">
        <v>5</v>
      </c>
    </row>
    <row r="559" spans="1:8" x14ac:dyDescent="0.25">
      <c r="A559" s="1">
        <v>45635</v>
      </c>
      <c r="B559" t="s">
        <v>552</v>
      </c>
      <c r="C559" t="s">
        <v>7</v>
      </c>
      <c r="D559" t="s">
        <v>788</v>
      </c>
      <c r="E559" t="s">
        <v>780</v>
      </c>
      <c r="F559">
        <v>47974</v>
      </c>
      <c r="G559" s="2">
        <f t="shared" si="8"/>
        <v>7196.0999999999995</v>
      </c>
      <c r="H559">
        <v>5</v>
      </c>
    </row>
    <row r="560" spans="1:8" x14ac:dyDescent="0.25">
      <c r="A560" s="1">
        <v>45311</v>
      </c>
      <c r="B560" t="s">
        <v>553</v>
      </c>
      <c r="C560" t="s">
        <v>7</v>
      </c>
      <c r="D560" t="s">
        <v>788</v>
      </c>
      <c r="E560" t="s">
        <v>778</v>
      </c>
      <c r="F560">
        <v>38239</v>
      </c>
      <c r="G560" s="2">
        <f t="shared" si="8"/>
        <v>5735.8499999999995</v>
      </c>
      <c r="H560">
        <v>3</v>
      </c>
    </row>
    <row r="561" spans="1:8" x14ac:dyDescent="0.25">
      <c r="A561" s="1">
        <v>45612</v>
      </c>
      <c r="B561" t="s">
        <v>554</v>
      </c>
      <c r="C561" t="s">
        <v>6</v>
      </c>
      <c r="D561" t="s">
        <v>787</v>
      </c>
      <c r="E561" t="s">
        <v>781</v>
      </c>
      <c r="F561">
        <v>77262</v>
      </c>
      <c r="G561" s="2">
        <f t="shared" si="8"/>
        <v>11589.3</v>
      </c>
      <c r="H561">
        <v>5</v>
      </c>
    </row>
    <row r="562" spans="1:8" x14ac:dyDescent="0.25">
      <c r="A562" s="1">
        <v>45395</v>
      </c>
      <c r="B562" t="s">
        <v>555</v>
      </c>
      <c r="C562" t="s">
        <v>4</v>
      </c>
      <c r="D562" t="s">
        <v>786</v>
      </c>
      <c r="E562" t="s">
        <v>781</v>
      </c>
      <c r="F562">
        <v>68396</v>
      </c>
      <c r="G562" s="2">
        <f t="shared" si="8"/>
        <v>10259.4</v>
      </c>
      <c r="H562">
        <v>5</v>
      </c>
    </row>
    <row r="563" spans="1:8" x14ac:dyDescent="0.25">
      <c r="A563" s="1">
        <v>45449</v>
      </c>
      <c r="B563" t="s">
        <v>556</v>
      </c>
      <c r="C563" t="s">
        <v>8</v>
      </c>
      <c r="D563" t="s">
        <v>788</v>
      </c>
      <c r="E563" t="s">
        <v>778</v>
      </c>
      <c r="F563">
        <v>36215</v>
      </c>
      <c r="G563" s="2">
        <f t="shared" si="8"/>
        <v>5432.25</v>
      </c>
      <c r="H563">
        <v>2</v>
      </c>
    </row>
    <row r="564" spans="1:8" x14ac:dyDescent="0.25">
      <c r="A564" s="1">
        <v>45592</v>
      </c>
      <c r="B564" t="s">
        <v>557</v>
      </c>
      <c r="C564" t="s">
        <v>5</v>
      </c>
      <c r="D564" t="s">
        <v>787</v>
      </c>
      <c r="E564" t="s">
        <v>781</v>
      </c>
      <c r="F564">
        <v>1742</v>
      </c>
      <c r="G564" s="2">
        <f t="shared" si="8"/>
        <v>261.3</v>
      </c>
      <c r="H564">
        <v>3</v>
      </c>
    </row>
    <row r="565" spans="1:8" x14ac:dyDescent="0.25">
      <c r="A565" s="1">
        <v>45551</v>
      </c>
      <c r="B565" t="s">
        <v>558</v>
      </c>
      <c r="C565" t="s">
        <v>8</v>
      </c>
      <c r="D565" t="s">
        <v>788</v>
      </c>
      <c r="E565" t="s">
        <v>780</v>
      </c>
      <c r="F565">
        <v>73059</v>
      </c>
      <c r="G565" s="2">
        <f t="shared" si="8"/>
        <v>10958.85</v>
      </c>
      <c r="H565">
        <v>2</v>
      </c>
    </row>
    <row r="566" spans="1:8" x14ac:dyDescent="0.25">
      <c r="A566" s="1">
        <v>45587</v>
      </c>
      <c r="B566" t="s">
        <v>559</v>
      </c>
      <c r="C566" t="s">
        <v>3</v>
      </c>
      <c r="D566" t="s">
        <v>786</v>
      </c>
      <c r="E566" t="s">
        <v>780</v>
      </c>
      <c r="F566">
        <v>5453</v>
      </c>
      <c r="G566" s="2">
        <f t="shared" si="8"/>
        <v>817.94999999999993</v>
      </c>
      <c r="H566">
        <v>4</v>
      </c>
    </row>
    <row r="567" spans="1:8" x14ac:dyDescent="0.25">
      <c r="A567" s="1">
        <v>45603</v>
      </c>
      <c r="B567" t="s">
        <v>560</v>
      </c>
      <c r="C567" t="s">
        <v>8</v>
      </c>
      <c r="D567" t="s">
        <v>788</v>
      </c>
      <c r="E567" t="s">
        <v>781</v>
      </c>
      <c r="F567">
        <v>4662</v>
      </c>
      <c r="G567" s="2">
        <f t="shared" si="8"/>
        <v>699.3</v>
      </c>
      <c r="H567">
        <v>3</v>
      </c>
    </row>
    <row r="568" spans="1:8" x14ac:dyDescent="0.25">
      <c r="A568" s="1">
        <v>45448</v>
      </c>
      <c r="B568" t="s">
        <v>561</v>
      </c>
      <c r="C568" t="s">
        <v>8</v>
      </c>
      <c r="D568" t="s">
        <v>788</v>
      </c>
      <c r="E568" t="s">
        <v>781</v>
      </c>
      <c r="F568">
        <v>30638</v>
      </c>
      <c r="G568" s="2">
        <f t="shared" si="8"/>
        <v>4595.7</v>
      </c>
      <c r="H568">
        <v>2</v>
      </c>
    </row>
    <row r="569" spans="1:8" x14ac:dyDescent="0.25">
      <c r="A569" s="1">
        <v>45326</v>
      </c>
      <c r="B569" t="s">
        <v>562</v>
      </c>
      <c r="C569" t="s">
        <v>5</v>
      </c>
      <c r="D569" t="s">
        <v>787</v>
      </c>
      <c r="E569" t="s">
        <v>778</v>
      </c>
      <c r="F569">
        <v>60977</v>
      </c>
      <c r="G569" s="2">
        <f t="shared" si="8"/>
        <v>9146.5499999999993</v>
      </c>
      <c r="H569">
        <v>5</v>
      </c>
    </row>
    <row r="570" spans="1:8" x14ac:dyDescent="0.25">
      <c r="A570" s="1">
        <v>45318</v>
      </c>
      <c r="B570" t="s">
        <v>563</v>
      </c>
      <c r="C570" t="s">
        <v>3</v>
      </c>
      <c r="D570" t="s">
        <v>786</v>
      </c>
      <c r="E570" t="s">
        <v>778</v>
      </c>
      <c r="F570">
        <v>28071</v>
      </c>
      <c r="G570" s="2">
        <f t="shared" si="8"/>
        <v>4210.6499999999996</v>
      </c>
      <c r="H570">
        <v>5</v>
      </c>
    </row>
    <row r="571" spans="1:8" x14ac:dyDescent="0.25">
      <c r="A571" s="1">
        <v>45420</v>
      </c>
      <c r="B571" t="s">
        <v>564</v>
      </c>
      <c r="C571" t="s">
        <v>4</v>
      </c>
      <c r="D571" t="s">
        <v>786</v>
      </c>
      <c r="E571" t="s">
        <v>778</v>
      </c>
      <c r="F571">
        <v>44381</v>
      </c>
      <c r="G571" s="2">
        <f t="shared" si="8"/>
        <v>6657.15</v>
      </c>
      <c r="H571">
        <v>4</v>
      </c>
    </row>
    <row r="572" spans="1:8" x14ac:dyDescent="0.25">
      <c r="A572" s="1">
        <v>45450</v>
      </c>
      <c r="B572" t="s">
        <v>565</v>
      </c>
      <c r="C572" t="s">
        <v>4</v>
      </c>
      <c r="D572" t="s">
        <v>786</v>
      </c>
      <c r="E572" t="s">
        <v>778</v>
      </c>
      <c r="F572">
        <v>32974</v>
      </c>
      <c r="G572" s="2">
        <f t="shared" si="8"/>
        <v>4946.0999999999995</v>
      </c>
      <c r="H572">
        <v>3</v>
      </c>
    </row>
    <row r="573" spans="1:8" x14ac:dyDescent="0.25">
      <c r="A573" s="1">
        <v>45402</v>
      </c>
      <c r="B573" t="s">
        <v>434</v>
      </c>
      <c r="C573" t="s">
        <v>4</v>
      </c>
      <c r="D573" t="s">
        <v>786</v>
      </c>
      <c r="E573" t="s">
        <v>778</v>
      </c>
      <c r="F573">
        <v>28254</v>
      </c>
      <c r="G573" s="2">
        <f t="shared" si="8"/>
        <v>4238.0999999999995</v>
      </c>
      <c r="H573">
        <v>4</v>
      </c>
    </row>
    <row r="574" spans="1:8" x14ac:dyDescent="0.25">
      <c r="A574" s="1">
        <v>45427</v>
      </c>
      <c r="B574" t="s">
        <v>566</v>
      </c>
      <c r="C574" t="s">
        <v>4</v>
      </c>
      <c r="D574" t="s">
        <v>786</v>
      </c>
      <c r="E574" t="s">
        <v>781</v>
      </c>
      <c r="F574">
        <v>71542</v>
      </c>
      <c r="G574" s="2">
        <f t="shared" si="8"/>
        <v>10731.3</v>
      </c>
      <c r="H574">
        <v>4</v>
      </c>
    </row>
    <row r="575" spans="1:8" x14ac:dyDescent="0.25">
      <c r="A575" s="1">
        <v>45448</v>
      </c>
      <c r="B575" t="s">
        <v>567</v>
      </c>
      <c r="C575" t="s">
        <v>4</v>
      </c>
      <c r="D575" t="s">
        <v>786</v>
      </c>
      <c r="E575" t="s">
        <v>778</v>
      </c>
      <c r="F575">
        <v>1267</v>
      </c>
      <c r="G575" s="2">
        <f t="shared" si="8"/>
        <v>190.04999999999998</v>
      </c>
      <c r="H575">
        <v>3</v>
      </c>
    </row>
    <row r="576" spans="1:8" x14ac:dyDescent="0.25">
      <c r="A576" s="1">
        <v>45345</v>
      </c>
      <c r="B576" t="s">
        <v>568</v>
      </c>
      <c r="C576" t="s">
        <v>5</v>
      </c>
      <c r="D576" t="s">
        <v>787</v>
      </c>
      <c r="E576" t="s">
        <v>779</v>
      </c>
      <c r="F576">
        <v>15306</v>
      </c>
      <c r="G576" s="2">
        <f t="shared" si="8"/>
        <v>2295.9</v>
      </c>
      <c r="H576">
        <v>1</v>
      </c>
    </row>
    <row r="577" spans="1:8" x14ac:dyDescent="0.25">
      <c r="A577" s="1">
        <v>45530</v>
      </c>
      <c r="B577" t="s">
        <v>569</v>
      </c>
      <c r="C577" t="s">
        <v>6</v>
      </c>
      <c r="D577" t="s">
        <v>787</v>
      </c>
      <c r="E577" t="s">
        <v>781</v>
      </c>
      <c r="F577">
        <v>37100</v>
      </c>
      <c r="G577" s="2">
        <f t="shared" si="8"/>
        <v>5565</v>
      </c>
      <c r="H577">
        <v>3</v>
      </c>
    </row>
    <row r="578" spans="1:8" x14ac:dyDescent="0.25">
      <c r="A578" s="1">
        <v>45555</v>
      </c>
      <c r="B578" t="s">
        <v>570</v>
      </c>
      <c r="C578" t="s">
        <v>6</v>
      </c>
      <c r="D578" t="s">
        <v>787</v>
      </c>
      <c r="E578" t="s">
        <v>779</v>
      </c>
      <c r="F578">
        <v>13050</v>
      </c>
      <c r="G578" s="2">
        <f t="shared" si="8"/>
        <v>1957.5</v>
      </c>
      <c r="H578">
        <v>2</v>
      </c>
    </row>
    <row r="579" spans="1:8" x14ac:dyDescent="0.25">
      <c r="A579" s="1">
        <v>45602</v>
      </c>
      <c r="B579" t="s">
        <v>571</v>
      </c>
      <c r="C579" t="s">
        <v>8</v>
      </c>
      <c r="D579" t="s">
        <v>788</v>
      </c>
      <c r="E579" t="s">
        <v>780</v>
      </c>
      <c r="F579">
        <v>76635</v>
      </c>
      <c r="G579" s="2">
        <f t="shared" ref="G579:G642" si="9">F579*0.15</f>
        <v>11495.25</v>
      </c>
      <c r="H579">
        <v>2</v>
      </c>
    </row>
    <row r="580" spans="1:8" x14ac:dyDescent="0.25">
      <c r="A580" s="1">
        <v>45455</v>
      </c>
      <c r="B580" t="s">
        <v>572</v>
      </c>
      <c r="C580" t="s">
        <v>4</v>
      </c>
      <c r="D580" t="s">
        <v>786</v>
      </c>
      <c r="E580" t="s">
        <v>779</v>
      </c>
      <c r="F580">
        <v>10636</v>
      </c>
      <c r="G580" s="2">
        <f t="shared" si="9"/>
        <v>1595.3999999999999</v>
      </c>
      <c r="H580">
        <v>1</v>
      </c>
    </row>
    <row r="581" spans="1:8" x14ac:dyDescent="0.25">
      <c r="A581" s="1">
        <v>45571</v>
      </c>
      <c r="B581" t="s">
        <v>573</v>
      </c>
      <c r="C581" t="s">
        <v>8</v>
      </c>
      <c r="D581" t="s">
        <v>788</v>
      </c>
      <c r="E581" t="s">
        <v>780</v>
      </c>
      <c r="F581">
        <v>51575</v>
      </c>
      <c r="G581" s="2">
        <f t="shared" si="9"/>
        <v>7736.25</v>
      </c>
      <c r="H581">
        <v>2</v>
      </c>
    </row>
    <row r="582" spans="1:8" x14ac:dyDescent="0.25">
      <c r="A582" s="1">
        <v>45638</v>
      </c>
      <c r="B582" t="s">
        <v>574</v>
      </c>
      <c r="C582" t="s">
        <v>4</v>
      </c>
      <c r="D582" t="s">
        <v>786</v>
      </c>
      <c r="E582" t="s">
        <v>780</v>
      </c>
      <c r="F582">
        <v>48727</v>
      </c>
      <c r="G582" s="2">
        <f t="shared" si="9"/>
        <v>7309.05</v>
      </c>
      <c r="H582">
        <v>4</v>
      </c>
    </row>
    <row r="583" spans="1:8" x14ac:dyDescent="0.25">
      <c r="A583" s="1">
        <v>45531</v>
      </c>
      <c r="B583" t="s">
        <v>575</v>
      </c>
      <c r="C583" t="s">
        <v>4</v>
      </c>
      <c r="D583" t="s">
        <v>786</v>
      </c>
      <c r="E583" t="s">
        <v>780</v>
      </c>
      <c r="F583">
        <v>62166</v>
      </c>
      <c r="G583" s="2">
        <f t="shared" si="9"/>
        <v>9324.9</v>
      </c>
      <c r="H583">
        <v>5</v>
      </c>
    </row>
    <row r="584" spans="1:8" x14ac:dyDescent="0.25">
      <c r="A584" s="1">
        <v>45628</v>
      </c>
      <c r="B584" t="s">
        <v>576</v>
      </c>
      <c r="C584" t="s">
        <v>6</v>
      </c>
      <c r="D584" t="s">
        <v>787</v>
      </c>
      <c r="E584" t="s">
        <v>778</v>
      </c>
      <c r="F584">
        <v>74579</v>
      </c>
      <c r="G584" s="2">
        <f t="shared" si="9"/>
        <v>11186.85</v>
      </c>
      <c r="H584">
        <v>2</v>
      </c>
    </row>
    <row r="585" spans="1:8" x14ac:dyDescent="0.25">
      <c r="A585" s="1">
        <v>45495</v>
      </c>
      <c r="B585" t="s">
        <v>577</v>
      </c>
      <c r="C585" t="s">
        <v>5</v>
      </c>
      <c r="D585" t="s">
        <v>787</v>
      </c>
      <c r="E585" t="s">
        <v>778</v>
      </c>
      <c r="F585">
        <v>53099</v>
      </c>
      <c r="G585" s="2">
        <f t="shared" si="9"/>
        <v>7964.8499999999995</v>
      </c>
      <c r="H585">
        <v>4</v>
      </c>
    </row>
    <row r="586" spans="1:8" x14ac:dyDescent="0.25">
      <c r="A586" s="1">
        <v>45415</v>
      </c>
      <c r="B586" t="s">
        <v>578</v>
      </c>
      <c r="C586" t="s">
        <v>4</v>
      </c>
      <c r="D586" t="s">
        <v>786</v>
      </c>
      <c r="E586" t="s">
        <v>779</v>
      </c>
      <c r="F586">
        <v>33669</v>
      </c>
      <c r="G586" s="2">
        <f t="shared" si="9"/>
        <v>5050.3499999999995</v>
      </c>
      <c r="H586">
        <v>1</v>
      </c>
    </row>
    <row r="587" spans="1:8" x14ac:dyDescent="0.25">
      <c r="A587" s="1">
        <v>45486</v>
      </c>
      <c r="B587" t="s">
        <v>579</v>
      </c>
      <c r="C587" t="s">
        <v>7</v>
      </c>
      <c r="D587" t="s">
        <v>788</v>
      </c>
      <c r="E587" t="s">
        <v>778</v>
      </c>
      <c r="F587">
        <v>34191</v>
      </c>
      <c r="G587" s="2">
        <f t="shared" si="9"/>
        <v>5128.6499999999996</v>
      </c>
      <c r="H587">
        <v>3</v>
      </c>
    </row>
    <row r="588" spans="1:8" x14ac:dyDescent="0.25">
      <c r="A588" s="1">
        <v>45509</v>
      </c>
      <c r="B588" t="s">
        <v>580</v>
      </c>
      <c r="C588" t="s">
        <v>7</v>
      </c>
      <c r="D588" t="s">
        <v>788</v>
      </c>
      <c r="E588" t="s">
        <v>780</v>
      </c>
      <c r="F588">
        <v>39017</v>
      </c>
      <c r="G588" s="2">
        <f t="shared" si="9"/>
        <v>5852.55</v>
      </c>
      <c r="H588">
        <v>3</v>
      </c>
    </row>
    <row r="589" spans="1:8" x14ac:dyDescent="0.25">
      <c r="A589" s="1">
        <v>45431</v>
      </c>
      <c r="B589" t="s">
        <v>581</v>
      </c>
      <c r="C589" t="s">
        <v>6</v>
      </c>
      <c r="D589" t="s">
        <v>787</v>
      </c>
      <c r="E589" t="s">
        <v>779</v>
      </c>
      <c r="F589">
        <v>40940</v>
      </c>
      <c r="G589" s="2">
        <f t="shared" si="9"/>
        <v>6141</v>
      </c>
      <c r="H589">
        <v>1</v>
      </c>
    </row>
    <row r="590" spans="1:8" x14ac:dyDescent="0.25">
      <c r="A590" s="1">
        <v>45563</v>
      </c>
      <c r="B590" t="s">
        <v>582</v>
      </c>
      <c r="C590" t="s">
        <v>3</v>
      </c>
      <c r="D590" t="s">
        <v>786</v>
      </c>
      <c r="E590" t="s">
        <v>778</v>
      </c>
      <c r="F590">
        <v>65926</v>
      </c>
      <c r="G590" s="2">
        <f t="shared" si="9"/>
        <v>9888.9</v>
      </c>
      <c r="H590">
        <v>1</v>
      </c>
    </row>
    <row r="591" spans="1:8" x14ac:dyDescent="0.25">
      <c r="A591" s="1">
        <v>45399</v>
      </c>
      <c r="B591" t="s">
        <v>107</v>
      </c>
      <c r="C591" t="s">
        <v>8</v>
      </c>
      <c r="D591" t="s">
        <v>788</v>
      </c>
      <c r="E591" t="s">
        <v>780</v>
      </c>
      <c r="F591">
        <v>25722</v>
      </c>
      <c r="G591" s="2">
        <f t="shared" si="9"/>
        <v>3858.2999999999997</v>
      </c>
      <c r="H591">
        <v>1</v>
      </c>
    </row>
    <row r="592" spans="1:8" x14ac:dyDescent="0.25">
      <c r="A592" s="1">
        <v>45649</v>
      </c>
      <c r="B592" t="s">
        <v>583</v>
      </c>
      <c r="C592" t="s">
        <v>3</v>
      </c>
      <c r="D592" t="s">
        <v>786</v>
      </c>
      <c r="E592" t="s">
        <v>780</v>
      </c>
      <c r="F592">
        <v>21889</v>
      </c>
      <c r="G592" s="2">
        <f t="shared" si="9"/>
        <v>3283.35</v>
      </c>
      <c r="H592">
        <v>3</v>
      </c>
    </row>
    <row r="593" spans="1:8" x14ac:dyDescent="0.25">
      <c r="A593" s="1">
        <v>45602</v>
      </c>
      <c r="B593" t="s">
        <v>584</v>
      </c>
      <c r="C593" t="s">
        <v>6</v>
      </c>
      <c r="D593" t="s">
        <v>787</v>
      </c>
      <c r="E593" t="s">
        <v>780</v>
      </c>
      <c r="F593">
        <v>68578</v>
      </c>
      <c r="G593" s="2">
        <f t="shared" si="9"/>
        <v>10286.699999999999</v>
      </c>
      <c r="H593">
        <v>5</v>
      </c>
    </row>
    <row r="594" spans="1:8" x14ac:dyDescent="0.25">
      <c r="A594" s="1">
        <v>45451</v>
      </c>
      <c r="B594" t="s">
        <v>585</v>
      </c>
      <c r="C594" t="s">
        <v>6</v>
      </c>
      <c r="D594" t="s">
        <v>787</v>
      </c>
      <c r="E594" t="s">
        <v>781</v>
      </c>
      <c r="F594">
        <v>58478</v>
      </c>
      <c r="G594" s="2">
        <f t="shared" si="9"/>
        <v>8771.6999999999989</v>
      </c>
      <c r="H594">
        <v>2</v>
      </c>
    </row>
    <row r="595" spans="1:8" x14ac:dyDescent="0.25">
      <c r="A595" s="1">
        <v>45305</v>
      </c>
      <c r="B595" t="s">
        <v>586</v>
      </c>
      <c r="C595" t="s">
        <v>7</v>
      </c>
      <c r="D595" t="s">
        <v>788</v>
      </c>
      <c r="E595" t="s">
        <v>778</v>
      </c>
      <c r="F595">
        <v>49738</v>
      </c>
      <c r="G595" s="2">
        <f t="shared" si="9"/>
        <v>7460.7</v>
      </c>
      <c r="H595">
        <v>3</v>
      </c>
    </row>
    <row r="596" spans="1:8" x14ac:dyDescent="0.25">
      <c r="A596" s="1">
        <v>45371</v>
      </c>
      <c r="B596" t="s">
        <v>587</v>
      </c>
      <c r="C596" t="s">
        <v>8</v>
      </c>
      <c r="D596" t="s">
        <v>788</v>
      </c>
      <c r="E596" t="s">
        <v>778</v>
      </c>
      <c r="F596">
        <v>37782</v>
      </c>
      <c r="G596" s="2">
        <f t="shared" si="9"/>
        <v>5667.3</v>
      </c>
      <c r="H596">
        <v>4</v>
      </c>
    </row>
    <row r="597" spans="1:8" x14ac:dyDescent="0.25">
      <c r="A597" s="1">
        <v>45403</v>
      </c>
      <c r="B597" t="s">
        <v>588</v>
      </c>
      <c r="C597" t="s">
        <v>8</v>
      </c>
      <c r="D597" t="s">
        <v>788</v>
      </c>
      <c r="E597" t="s">
        <v>779</v>
      </c>
      <c r="F597">
        <v>41237</v>
      </c>
      <c r="G597" s="2">
        <f t="shared" si="9"/>
        <v>6185.55</v>
      </c>
      <c r="H597">
        <v>2</v>
      </c>
    </row>
    <row r="598" spans="1:8" x14ac:dyDescent="0.25">
      <c r="A598" s="1">
        <v>45607</v>
      </c>
      <c r="B598" t="s">
        <v>38</v>
      </c>
      <c r="C598" t="s">
        <v>4</v>
      </c>
      <c r="D598" t="s">
        <v>786</v>
      </c>
      <c r="E598" t="s">
        <v>778</v>
      </c>
      <c r="F598">
        <v>66821</v>
      </c>
      <c r="G598" s="2">
        <f t="shared" si="9"/>
        <v>10023.15</v>
      </c>
      <c r="H598">
        <v>4</v>
      </c>
    </row>
    <row r="599" spans="1:8" x14ac:dyDescent="0.25">
      <c r="A599" s="1">
        <v>45359</v>
      </c>
      <c r="B599" t="s">
        <v>589</v>
      </c>
      <c r="C599" t="s">
        <v>4</v>
      </c>
      <c r="D599" t="s">
        <v>786</v>
      </c>
      <c r="E599" t="s">
        <v>778</v>
      </c>
      <c r="F599">
        <v>39546</v>
      </c>
      <c r="G599" s="2">
        <f t="shared" si="9"/>
        <v>5931.9</v>
      </c>
      <c r="H599">
        <v>3</v>
      </c>
    </row>
    <row r="600" spans="1:8" x14ac:dyDescent="0.25">
      <c r="A600" s="1">
        <v>45545</v>
      </c>
      <c r="B600" t="s">
        <v>590</v>
      </c>
      <c r="C600" t="s">
        <v>7</v>
      </c>
      <c r="D600" t="s">
        <v>788</v>
      </c>
      <c r="E600" t="s">
        <v>779</v>
      </c>
      <c r="F600">
        <v>37684</v>
      </c>
      <c r="G600" s="2">
        <f t="shared" si="9"/>
        <v>5652.5999999999995</v>
      </c>
      <c r="H600">
        <v>3</v>
      </c>
    </row>
    <row r="601" spans="1:8" x14ac:dyDescent="0.25">
      <c r="A601" s="1">
        <v>45487</v>
      </c>
      <c r="B601" t="s">
        <v>501</v>
      </c>
      <c r="C601" t="s">
        <v>3</v>
      </c>
      <c r="D601" t="s">
        <v>786</v>
      </c>
      <c r="E601" t="s">
        <v>780</v>
      </c>
      <c r="F601">
        <v>63479</v>
      </c>
      <c r="G601" s="2">
        <f t="shared" si="9"/>
        <v>9521.85</v>
      </c>
      <c r="H601">
        <v>4</v>
      </c>
    </row>
    <row r="602" spans="1:8" x14ac:dyDescent="0.25">
      <c r="A602" s="1">
        <v>45361</v>
      </c>
      <c r="B602" t="s">
        <v>103</v>
      </c>
      <c r="C602" t="s">
        <v>4</v>
      </c>
      <c r="D602" t="s">
        <v>786</v>
      </c>
      <c r="E602" t="s">
        <v>779</v>
      </c>
      <c r="F602">
        <v>51909</v>
      </c>
      <c r="G602" s="2">
        <f t="shared" si="9"/>
        <v>7786.3499999999995</v>
      </c>
      <c r="H602">
        <v>2</v>
      </c>
    </row>
    <row r="603" spans="1:8" x14ac:dyDescent="0.25">
      <c r="A603" s="1">
        <v>45331</v>
      </c>
      <c r="B603" t="s">
        <v>591</v>
      </c>
      <c r="C603" t="s">
        <v>3</v>
      </c>
      <c r="D603" t="s">
        <v>786</v>
      </c>
      <c r="E603" t="s">
        <v>778</v>
      </c>
      <c r="F603">
        <v>18132</v>
      </c>
      <c r="G603" s="2">
        <f t="shared" si="9"/>
        <v>2719.7999999999997</v>
      </c>
      <c r="H603">
        <v>1</v>
      </c>
    </row>
    <row r="604" spans="1:8" x14ac:dyDescent="0.25">
      <c r="A604" s="1">
        <v>45350</v>
      </c>
      <c r="B604" t="s">
        <v>592</v>
      </c>
      <c r="C604" t="s">
        <v>5</v>
      </c>
      <c r="D604" t="s">
        <v>787</v>
      </c>
      <c r="E604" t="s">
        <v>781</v>
      </c>
      <c r="F604">
        <v>61660</v>
      </c>
      <c r="G604" s="2">
        <f t="shared" si="9"/>
        <v>9249</v>
      </c>
      <c r="H604">
        <v>1</v>
      </c>
    </row>
    <row r="605" spans="1:8" x14ac:dyDescent="0.25">
      <c r="A605" s="1">
        <v>45338</v>
      </c>
      <c r="B605" t="s">
        <v>593</v>
      </c>
      <c r="C605" t="s">
        <v>8</v>
      </c>
      <c r="D605" t="s">
        <v>788</v>
      </c>
      <c r="E605" t="s">
        <v>781</v>
      </c>
      <c r="F605">
        <v>42113</v>
      </c>
      <c r="G605" s="2">
        <f t="shared" si="9"/>
        <v>6316.95</v>
      </c>
      <c r="H605">
        <v>4</v>
      </c>
    </row>
    <row r="606" spans="1:8" x14ac:dyDescent="0.25">
      <c r="A606" s="1">
        <v>45397</v>
      </c>
      <c r="B606" t="s">
        <v>594</v>
      </c>
      <c r="C606" t="s">
        <v>6</v>
      </c>
      <c r="D606" t="s">
        <v>787</v>
      </c>
      <c r="E606" t="s">
        <v>778</v>
      </c>
      <c r="F606">
        <v>6156</v>
      </c>
      <c r="G606" s="2">
        <f t="shared" si="9"/>
        <v>923.4</v>
      </c>
      <c r="H606">
        <v>1</v>
      </c>
    </row>
    <row r="607" spans="1:8" x14ac:dyDescent="0.25">
      <c r="A607" s="1">
        <v>45437</v>
      </c>
      <c r="B607" t="s">
        <v>595</v>
      </c>
      <c r="C607" t="s">
        <v>7</v>
      </c>
      <c r="D607" t="s">
        <v>788</v>
      </c>
      <c r="E607" t="s">
        <v>778</v>
      </c>
      <c r="F607">
        <v>66458</v>
      </c>
      <c r="G607" s="2">
        <f t="shared" si="9"/>
        <v>9968.6999999999989</v>
      </c>
      <c r="H607">
        <v>1</v>
      </c>
    </row>
    <row r="608" spans="1:8" x14ac:dyDescent="0.25">
      <c r="A608" s="1">
        <v>45368</v>
      </c>
      <c r="B608" t="s">
        <v>596</v>
      </c>
      <c r="C608" t="s">
        <v>7</v>
      </c>
      <c r="D608" t="s">
        <v>788</v>
      </c>
      <c r="E608" t="s">
        <v>780</v>
      </c>
      <c r="F608">
        <v>1002</v>
      </c>
      <c r="G608" s="2">
        <f t="shared" si="9"/>
        <v>150.29999999999998</v>
      </c>
      <c r="H608">
        <v>3</v>
      </c>
    </row>
    <row r="609" spans="1:8" x14ac:dyDescent="0.25">
      <c r="A609" s="1">
        <v>45370</v>
      </c>
      <c r="B609" t="s">
        <v>597</v>
      </c>
      <c r="C609" t="s">
        <v>7</v>
      </c>
      <c r="D609" t="s">
        <v>788</v>
      </c>
      <c r="E609" t="s">
        <v>781</v>
      </c>
      <c r="F609">
        <v>16619</v>
      </c>
      <c r="G609" s="2">
        <f t="shared" si="9"/>
        <v>2492.85</v>
      </c>
      <c r="H609">
        <v>3</v>
      </c>
    </row>
    <row r="610" spans="1:8" x14ac:dyDescent="0.25">
      <c r="A610" s="1">
        <v>45426</v>
      </c>
      <c r="B610" t="s">
        <v>598</v>
      </c>
      <c r="C610" t="s">
        <v>3</v>
      </c>
      <c r="D610" t="s">
        <v>786</v>
      </c>
      <c r="E610" t="s">
        <v>779</v>
      </c>
      <c r="F610">
        <v>75634</v>
      </c>
      <c r="G610" s="2">
        <f t="shared" si="9"/>
        <v>11345.1</v>
      </c>
      <c r="H610">
        <v>4</v>
      </c>
    </row>
    <row r="611" spans="1:8" x14ac:dyDescent="0.25">
      <c r="A611" s="1">
        <v>45550</v>
      </c>
      <c r="B611" t="s">
        <v>599</v>
      </c>
      <c r="C611" t="s">
        <v>6</v>
      </c>
      <c r="D611" t="s">
        <v>787</v>
      </c>
      <c r="E611" t="s">
        <v>778</v>
      </c>
      <c r="F611">
        <v>28116</v>
      </c>
      <c r="G611" s="2">
        <f t="shared" si="9"/>
        <v>4217.3999999999996</v>
      </c>
      <c r="H611">
        <v>5</v>
      </c>
    </row>
    <row r="612" spans="1:8" x14ac:dyDescent="0.25">
      <c r="A612" s="1">
        <v>45591</v>
      </c>
      <c r="B612" t="s">
        <v>600</v>
      </c>
      <c r="C612" t="s">
        <v>7</v>
      </c>
      <c r="D612" t="s">
        <v>788</v>
      </c>
      <c r="E612" t="s">
        <v>779</v>
      </c>
      <c r="F612">
        <v>17214</v>
      </c>
      <c r="G612" s="2">
        <f t="shared" si="9"/>
        <v>2582.1</v>
      </c>
      <c r="H612">
        <v>2</v>
      </c>
    </row>
    <row r="613" spans="1:8" x14ac:dyDescent="0.25">
      <c r="A613" s="1">
        <v>45642</v>
      </c>
      <c r="B613" t="s">
        <v>601</v>
      </c>
      <c r="C613" t="s">
        <v>6</v>
      </c>
      <c r="D613" t="s">
        <v>787</v>
      </c>
      <c r="E613" t="s">
        <v>780</v>
      </c>
      <c r="F613">
        <v>25100</v>
      </c>
      <c r="G613" s="2">
        <f t="shared" si="9"/>
        <v>3765</v>
      </c>
      <c r="H613">
        <v>3</v>
      </c>
    </row>
    <row r="614" spans="1:8" x14ac:dyDescent="0.25">
      <c r="A614" s="1">
        <v>45446</v>
      </c>
      <c r="B614" t="s">
        <v>602</v>
      </c>
      <c r="C614" t="s">
        <v>6</v>
      </c>
      <c r="D614" t="s">
        <v>787</v>
      </c>
      <c r="E614" t="s">
        <v>781</v>
      </c>
      <c r="F614">
        <v>58761</v>
      </c>
      <c r="G614" s="2">
        <f t="shared" si="9"/>
        <v>8814.15</v>
      </c>
      <c r="H614">
        <v>2</v>
      </c>
    </row>
    <row r="615" spans="1:8" x14ac:dyDescent="0.25">
      <c r="A615" s="1">
        <v>45466</v>
      </c>
      <c r="B615" t="s">
        <v>603</v>
      </c>
      <c r="C615" t="s">
        <v>8</v>
      </c>
      <c r="D615" t="s">
        <v>788</v>
      </c>
      <c r="E615" t="s">
        <v>778</v>
      </c>
      <c r="F615">
        <v>1291</v>
      </c>
      <c r="G615" s="2">
        <f t="shared" si="9"/>
        <v>193.65</v>
      </c>
      <c r="H615">
        <v>5</v>
      </c>
    </row>
    <row r="616" spans="1:8" x14ac:dyDescent="0.25">
      <c r="A616" s="1">
        <v>45339</v>
      </c>
      <c r="B616" t="s">
        <v>604</v>
      </c>
      <c r="C616" t="s">
        <v>3</v>
      </c>
      <c r="D616" t="s">
        <v>786</v>
      </c>
      <c r="E616" t="s">
        <v>781</v>
      </c>
      <c r="F616">
        <v>7365</v>
      </c>
      <c r="G616" s="2">
        <f t="shared" si="9"/>
        <v>1104.75</v>
      </c>
      <c r="H616">
        <v>2</v>
      </c>
    </row>
    <row r="617" spans="1:8" x14ac:dyDescent="0.25">
      <c r="A617" s="1">
        <v>45536</v>
      </c>
      <c r="B617" t="s">
        <v>605</v>
      </c>
      <c r="C617" t="s">
        <v>4</v>
      </c>
      <c r="D617" t="s">
        <v>786</v>
      </c>
      <c r="E617" t="s">
        <v>780</v>
      </c>
      <c r="F617">
        <v>32215</v>
      </c>
      <c r="G617" s="2">
        <f t="shared" si="9"/>
        <v>4832.25</v>
      </c>
      <c r="H617">
        <v>4</v>
      </c>
    </row>
    <row r="618" spans="1:8" x14ac:dyDescent="0.25">
      <c r="A618" s="1">
        <v>45428</v>
      </c>
      <c r="B618" t="s">
        <v>606</v>
      </c>
      <c r="C618" t="s">
        <v>4</v>
      </c>
      <c r="D618" t="s">
        <v>786</v>
      </c>
      <c r="E618" t="s">
        <v>778</v>
      </c>
      <c r="F618">
        <v>69118</v>
      </c>
      <c r="G618" s="2">
        <f t="shared" si="9"/>
        <v>10367.699999999999</v>
      </c>
      <c r="H618">
        <v>5</v>
      </c>
    </row>
    <row r="619" spans="1:8" x14ac:dyDescent="0.25">
      <c r="A619" s="1">
        <v>45501</v>
      </c>
      <c r="B619" t="s">
        <v>607</v>
      </c>
      <c r="C619" t="s">
        <v>8</v>
      </c>
      <c r="D619" t="s">
        <v>788</v>
      </c>
      <c r="E619" t="s">
        <v>781</v>
      </c>
      <c r="F619">
        <v>2374</v>
      </c>
      <c r="G619" s="2">
        <f t="shared" si="9"/>
        <v>356.09999999999997</v>
      </c>
      <c r="H619">
        <v>4</v>
      </c>
    </row>
    <row r="620" spans="1:8" x14ac:dyDescent="0.25">
      <c r="A620" s="1">
        <v>45617</v>
      </c>
      <c r="B620" t="s">
        <v>608</v>
      </c>
      <c r="C620" t="s">
        <v>7</v>
      </c>
      <c r="D620" t="s">
        <v>788</v>
      </c>
      <c r="E620" t="s">
        <v>781</v>
      </c>
      <c r="F620">
        <v>44212</v>
      </c>
      <c r="G620" s="2">
        <f t="shared" si="9"/>
        <v>6631.8</v>
      </c>
      <c r="H620">
        <v>3</v>
      </c>
    </row>
    <row r="621" spans="1:8" x14ac:dyDescent="0.25">
      <c r="A621" s="1">
        <v>45334</v>
      </c>
      <c r="B621" t="s">
        <v>596</v>
      </c>
      <c r="C621" t="s">
        <v>6</v>
      </c>
      <c r="D621" t="s">
        <v>787</v>
      </c>
      <c r="E621" t="s">
        <v>781</v>
      </c>
      <c r="F621">
        <v>49486</v>
      </c>
      <c r="G621" s="2">
        <f t="shared" si="9"/>
        <v>7422.9</v>
      </c>
      <c r="H621">
        <v>4</v>
      </c>
    </row>
    <row r="622" spans="1:8" x14ac:dyDescent="0.25">
      <c r="A622" s="1">
        <v>45422</v>
      </c>
      <c r="B622" t="s">
        <v>609</v>
      </c>
      <c r="C622" t="s">
        <v>6</v>
      </c>
      <c r="D622" t="s">
        <v>787</v>
      </c>
      <c r="E622" t="s">
        <v>778</v>
      </c>
      <c r="F622">
        <v>28205</v>
      </c>
      <c r="G622" s="2">
        <f t="shared" si="9"/>
        <v>4230.75</v>
      </c>
      <c r="H622">
        <v>3</v>
      </c>
    </row>
    <row r="623" spans="1:8" x14ac:dyDescent="0.25">
      <c r="A623" s="1">
        <v>45335</v>
      </c>
      <c r="B623" t="s">
        <v>610</v>
      </c>
      <c r="C623" t="s">
        <v>6</v>
      </c>
      <c r="D623" t="s">
        <v>787</v>
      </c>
      <c r="E623" t="s">
        <v>781</v>
      </c>
      <c r="F623">
        <v>3980</v>
      </c>
      <c r="G623" s="2">
        <f t="shared" si="9"/>
        <v>597</v>
      </c>
      <c r="H623">
        <v>2</v>
      </c>
    </row>
    <row r="624" spans="1:8" x14ac:dyDescent="0.25">
      <c r="A624" s="1">
        <v>45416</v>
      </c>
      <c r="B624" t="s">
        <v>611</v>
      </c>
      <c r="C624" t="s">
        <v>4</v>
      </c>
      <c r="D624" t="s">
        <v>786</v>
      </c>
      <c r="E624" t="s">
        <v>780</v>
      </c>
      <c r="F624">
        <v>13147</v>
      </c>
      <c r="G624" s="2">
        <f t="shared" si="9"/>
        <v>1972.05</v>
      </c>
      <c r="H624">
        <v>4</v>
      </c>
    </row>
    <row r="625" spans="1:8" x14ac:dyDescent="0.25">
      <c r="A625" s="1">
        <v>45445</v>
      </c>
      <c r="B625" t="s">
        <v>612</v>
      </c>
      <c r="C625" t="s">
        <v>8</v>
      </c>
      <c r="D625" t="s">
        <v>788</v>
      </c>
      <c r="E625" t="s">
        <v>780</v>
      </c>
      <c r="F625">
        <v>14455</v>
      </c>
      <c r="G625" s="2">
        <f t="shared" si="9"/>
        <v>2168.25</v>
      </c>
      <c r="H625">
        <v>4</v>
      </c>
    </row>
    <row r="626" spans="1:8" x14ac:dyDescent="0.25">
      <c r="A626" s="1">
        <v>45369</v>
      </c>
      <c r="B626" t="s">
        <v>221</v>
      </c>
      <c r="C626" t="s">
        <v>6</v>
      </c>
      <c r="D626" t="s">
        <v>787</v>
      </c>
      <c r="E626" t="s">
        <v>778</v>
      </c>
      <c r="F626">
        <v>5001</v>
      </c>
      <c r="G626" s="2">
        <f t="shared" si="9"/>
        <v>750.15</v>
      </c>
      <c r="H626">
        <v>5</v>
      </c>
    </row>
    <row r="627" spans="1:8" x14ac:dyDescent="0.25">
      <c r="A627" s="1">
        <v>45644</v>
      </c>
      <c r="B627" t="s">
        <v>613</v>
      </c>
      <c r="C627" t="s">
        <v>8</v>
      </c>
      <c r="D627" t="s">
        <v>788</v>
      </c>
      <c r="E627" t="s">
        <v>778</v>
      </c>
      <c r="F627">
        <v>31589</v>
      </c>
      <c r="G627" s="2">
        <f t="shared" si="9"/>
        <v>4738.3499999999995</v>
      </c>
      <c r="H627">
        <v>3</v>
      </c>
    </row>
    <row r="628" spans="1:8" x14ac:dyDescent="0.25">
      <c r="A628" s="1">
        <v>45459</v>
      </c>
      <c r="B628" t="s">
        <v>614</v>
      </c>
      <c r="C628" t="s">
        <v>4</v>
      </c>
      <c r="D628" t="s">
        <v>786</v>
      </c>
      <c r="E628" t="s">
        <v>781</v>
      </c>
      <c r="F628">
        <v>55589</v>
      </c>
      <c r="G628" s="2">
        <f t="shared" si="9"/>
        <v>8338.35</v>
      </c>
      <c r="H628">
        <v>5</v>
      </c>
    </row>
    <row r="629" spans="1:8" x14ac:dyDescent="0.25">
      <c r="A629" s="1">
        <v>45456</v>
      </c>
      <c r="B629" t="s">
        <v>479</v>
      </c>
      <c r="C629" t="s">
        <v>8</v>
      </c>
      <c r="D629" t="s">
        <v>788</v>
      </c>
      <c r="E629" t="s">
        <v>781</v>
      </c>
      <c r="F629">
        <v>4190</v>
      </c>
      <c r="G629" s="2">
        <f t="shared" si="9"/>
        <v>628.5</v>
      </c>
      <c r="H629">
        <v>3</v>
      </c>
    </row>
    <row r="630" spans="1:8" x14ac:dyDescent="0.25">
      <c r="A630" s="1">
        <v>45413</v>
      </c>
      <c r="B630" t="s">
        <v>615</v>
      </c>
      <c r="C630" t="s">
        <v>4</v>
      </c>
      <c r="D630" t="s">
        <v>786</v>
      </c>
      <c r="E630" t="s">
        <v>779</v>
      </c>
      <c r="F630">
        <v>1730</v>
      </c>
      <c r="G630" s="2">
        <f t="shared" si="9"/>
        <v>259.5</v>
      </c>
      <c r="H630">
        <v>4</v>
      </c>
    </row>
    <row r="631" spans="1:8" x14ac:dyDescent="0.25">
      <c r="A631" s="1">
        <v>45501</v>
      </c>
      <c r="B631" t="s">
        <v>616</v>
      </c>
      <c r="C631" t="s">
        <v>7</v>
      </c>
      <c r="D631" t="s">
        <v>788</v>
      </c>
      <c r="E631" t="s">
        <v>781</v>
      </c>
      <c r="F631">
        <v>22218</v>
      </c>
      <c r="G631" s="2">
        <f t="shared" si="9"/>
        <v>3332.7</v>
      </c>
      <c r="H631">
        <v>3</v>
      </c>
    </row>
    <row r="632" spans="1:8" x14ac:dyDescent="0.25">
      <c r="A632" s="1">
        <v>45642</v>
      </c>
      <c r="B632" t="s">
        <v>617</v>
      </c>
      <c r="C632" t="s">
        <v>6</v>
      </c>
      <c r="D632" t="s">
        <v>787</v>
      </c>
      <c r="E632" t="s">
        <v>781</v>
      </c>
      <c r="F632">
        <v>2864</v>
      </c>
      <c r="G632" s="2">
        <f t="shared" si="9"/>
        <v>429.59999999999997</v>
      </c>
      <c r="H632">
        <v>1</v>
      </c>
    </row>
    <row r="633" spans="1:8" x14ac:dyDescent="0.25">
      <c r="A633" s="1">
        <v>45592</v>
      </c>
      <c r="B633" t="s">
        <v>618</v>
      </c>
      <c r="C633" t="s">
        <v>4</v>
      </c>
      <c r="D633" t="s">
        <v>786</v>
      </c>
      <c r="E633" t="s">
        <v>781</v>
      </c>
      <c r="F633">
        <v>1265</v>
      </c>
      <c r="G633" s="2">
        <f t="shared" si="9"/>
        <v>189.75</v>
      </c>
      <c r="H633">
        <v>1</v>
      </c>
    </row>
    <row r="634" spans="1:8" x14ac:dyDescent="0.25">
      <c r="A634" s="1">
        <v>45621</v>
      </c>
      <c r="B634" t="s">
        <v>619</v>
      </c>
      <c r="C634" t="s">
        <v>6</v>
      </c>
      <c r="D634" t="s">
        <v>787</v>
      </c>
      <c r="E634" t="s">
        <v>778</v>
      </c>
      <c r="F634">
        <v>20493</v>
      </c>
      <c r="G634" s="2">
        <f t="shared" si="9"/>
        <v>3073.95</v>
      </c>
      <c r="H634">
        <v>5</v>
      </c>
    </row>
    <row r="635" spans="1:8" x14ac:dyDescent="0.25">
      <c r="A635" s="1">
        <v>45450</v>
      </c>
      <c r="B635" t="s">
        <v>620</v>
      </c>
      <c r="C635" t="s">
        <v>5</v>
      </c>
      <c r="D635" t="s">
        <v>787</v>
      </c>
      <c r="E635" t="s">
        <v>778</v>
      </c>
      <c r="F635">
        <v>51624</v>
      </c>
      <c r="G635" s="2">
        <f t="shared" si="9"/>
        <v>7743.5999999999995</v>
      </c>
      <c r="H635">
        <v>1</v>
      </c>
    </row>
    <row r="636" spans="1:8" x14ac:dyDescent="0.25">
      <c r="A636" s="1">
        <v>45546</v>
      </c>
      <c r="B636" t="s">
        <v>621</v>
      </c>
      <c r="C636" t="s">
        <v>8</v>
      </c>
      <c r="D636" t="s">
        <v>788</v>
      </c>
      <c r="E636" t="s">
        <v>779</v>
      </c>
      <c r="F636">
        <v>1949</v>
      </c>
      <c r="G636" s="2">
        <f t="shared" si="9"/>
        <v>292.34999999999997</v>
      </c>
      <c r="H636">
        <v>2</v>
      </c>
    </row>
    <row r="637" spans="1:8" x14ac:dyDescent="0.25">
      <c r="A637" s="1">
        <v>45376</v>
      </c>
      <c r="B637" t="s">
        <v>622</v>
      </c>
      <c r="C637" t="s">
        <v>7</v>
      </c>
      <c r="D637" t="s">
        <v>788</v>
      </c>
      <c r="E637" t="s">
        <v>779</v>
      </c>
      <c r="F637">
        <v>59040</v>
      </c>
      <c r="G637" s="2">
        <f t="shared" si="9"/>
        <v>8856</v>
      </c>
      <c r="H637">
        <v>5</v>
      </c>
    </row>
    <row r="638" spans="1:8" x14ac:dyDescent="0.25">
      <c r="A638" s="1">
        <v>45312</v>
      </c>
      <c r="B638" t="s">
        <v>623</v>
      </c>
      <c r="C638" t="s">
        <v>8</v>
      </c>
      <c r="D638" t="s">
        <v>788</v>
      </c>
      <c r="E638" t="s">
        <v>780</v>
      </c>
      <c r="F638">
        <v>32793</v>
      </c>
      <c r="G638" s="2">
        <f t="shared" si="9"/>
        <v>4918.95</v>
      </c>
      <c r="H638">
        <v>2</v>
      </c>
    </row>
    <row r="639" spans="1:8" x14ac:dyDescent="0.25">
      <c r="A639" s="1">
        <v>45619</v>
      </c>
      <c r="B639" t="s">
        <v>624</v>
      </c>
      <c r="C639" t="s">
        <v>4</v>
      </c>
      <c r="D639" t="s">
        <v>786</v>
      </c>
      <c r="E639" t="s">
        <v>781</v>
      </c>
      <c r="F639">
        <v>69967</v>
      </c>
      <c r="G639" s="2">
        <f t="shared" si="9"/>
        <v>10495.05</v>
      </c>
      <c r="H639">
        <v>5</v>
      </c>
    </row>
    <row r="640" spans="1:8" x14ac:dyDescent="0.25">
      <c r="A640" s="1">
        <v>45467</v>
      </c>
      <c r="B640" t="s">
        <v>625</v>
      </c>
      <c r="C640" t="s">
        <v>8</v>
      </c>
      <c r="D640" t="s">
        <v>788</v>
      </c>
      <c r="E640" t="s">
        <v>781</v>
      </c>
      <c r="F640">
        <v>62059</v>
      </c>
      <c r="G640" s="2">
        <f t="shared" si="9"/>
        <v>9308.85</v>
      </c>
      <c r="H640">
        <v>1</v>
      </c>
    </row>
    <row r="641" spans="1:8" x14ac:dyDescent="0.25">
      <c r="A641" s="1">
        <v>45310</v>
      </c>
      <c r="B641" t="s">
        <v>626</v>
      </c>
      <c r="C641" t="s">
        <v>3</v>
      </c>
      <c r="D641" t="s">
        <v>786</v>
      </c>
      <c r="E641" t="s">
        <v>779</v>
      </c>
      <c r="F641">
        <v>22671</v>
      </c>
      <c r="G641" s="2">
        <f t="shared" si="9"/>
        <v>3400.65</v>
      </c>
      <c r="H641">
        <v>5</v>
      </c>
    </row>
    <row r="642" spans="1:8" x14ac:dyDescent="0.25">
      <c r="A642" s="1">
        <v>45632</v>
      </c>
      <c r="B642" t="s">
        <v>627</v>
      </c>
      <c r="C642" t="s">
        <v>6</v>
      </c>
      <c r="D642" t="s">
        <v>787</v>
      </c>
      <c r="E642" t="s">
        <v>780</v>
      </c>
      <c r="F642">
        <v>17935</v>
      </c>
      <c r="G642" s="2">
        <f t="shared" si="9"/>
        <v>2690.25</v>
      </c>
      <c r="H642">
        <v>4</v>
      </c>
    </row>
    <row r="643" spans="1:8" x14ac:dyDescent="0.25">
      <c r="A643" s="1">
        <v>45434</v>
      </c>
      <c r="B643" t="s">
        <v>628</v>
      </c>
      <c r="C643" t="s">
        <v>7</v>
      </c>
      <c r="D643" t="s">
        <v>788</v>
      </c>
      <c r="E643" t="s">
        <v>780</v>
      </c>
      <c r="F643">
        <v>23973</v>
      </c>
      <c r="G643" s="2">
        <f t="shared" ref="G643:G706" si="10">F643*0.15</f>
        <v>3595.95</v>
      </c>
      <c r="H643">
        <v>4</v>
      </c>
    </row>
    <row r="644" spans="1:8" x14ac:dyDescent="0.25">
      <c r="A644" s="1">
        <v>45530</v>
      </c>
      <c r="B644" t="s">
        <v>629</v>
      </c>
      <c r="C644" t="s">
        <v>5</v>
      </c>
      <c r="D644" t="s">
        <v>787</v>
      </c>
      <c r="E644" t="s">
        <v>781</v>
      </c>
      <c r="F644">
        <v>6648</v>
      </c>
      <c r="G644" s="2">
        <f t="shared" si="10"/>
        <v>997.19999999999993</v>
      </c>
      <c r="H644">
        <v>4</v>
      </c>
    </row>
    <row r="645" spans="1:8" x14ac:dyDescent="0.25">
      <c r="A645" s="1">
        <v>45292</v>
      </c>
      <c r="B645" t="s">
        <v>630</v>
      </c>
      <c r="C645" t="s">
        <v>4</v>
      </c>
      <c r="D645" t="s">
        <v>786</v>
      </c>
      <c r="E645" t="s">
        <v>781</v>
      </c>
      <c r="F645">
        <v>15594</v>
      </c>
      <c r="G645" s="2">
        <f t="shared" si="10"/>
        <v>2339.1</v>
      </c>
      <c r="H645">
        <v>1</v>
      </c>
    </row>
    <row r="646" spans="1:8" x14ac:dyDescent="0.25">
      <c r="A646" s="1">
        <v>45444</v>
      </c>
      <c r="B646" t="s">
        <v>631</v>
      </c>
      <c r="C646" t="s">
        <v>6</v>
      </c>
      <c r="D646" t="s">
        <v>787</v>
      </c>
      <c r="E646" t="s">
        <v>778</v>
      </c>
      <c r="F646">
        <v>43642</v>
      </c>
      <c r="G646" s="2">
        <f t="shared" si="10"/>
        <v>6546.3</v>
      </c>
      <c r="H646">
        <v>2</v>
      </c>
    </row>
    <row r="647" spans="1:8" x14ac:dyDescent="0.25">
      <c r="A647" s="1">
        <v>45632</v>
      </c>
      <c r="B647" t="s">
        <v>632</v>
      </c>
      <c r="C647" t="s">
        <v>6</v>
      </c>
      <c r="D647" t="s">
        <v>787</v>
      </c>
      <c r="E647" t="s">
        <v>779</v>
      </c>
      <c r="F647">
        <v>76224</v>
      </c>
      <c r="G647" s="2">
        <f t="shared" si="10"/>
        <v>11433.6</v>
      </c>
      <c r="H647">
        <v>5</v>
      </c>
    </row>
    <row r="648" spans="1:8" x14ac:dyDescent="0.25">
      <c r="A648" s="1">
        <v>45422</v>
      </c>
      <c r="B648" t="s">
        <v>633</v>
      </c>
      <c r="C648" t="s">
        <v>6</v>
      </c>
      <c r="D648" t="s">
        <v>787</v>
      </c>
      <c r="E648" t="s">
        <v>780</v>
      </c>
      <c r="F648">
        <v>46808</v>
      </c>
      <c r="G648" s="2">
        <f t="shared" si="10"/>
        <v>7021.2</v>
      </c>
      <c r="H648">
        <v>1</v>
      </c>
    </row>
    <row r="649" spans="1:8" x14ac:dyDescent="0.25">
      <c r="A649" s="1">
        <v>45632</v>
      </c>
      <c r="B649" t="s">
        <v>634</v>
      </c>
      <c r="C649" t="s">
        <v>3</v>
      </c>
      <c r="D649" t="s">
        <v>786</v>
      </c>
      <c r="E649" t="s">
        <v>781</v>
      </c>
      <c r="F649">
        <v>31174</v>
      </c>
      <c r="G649" s="2">
        <f t="shared" si="10"/>
        <v>4676.0999999999995</v>
      </c>
      <c r="H649">
        <v>5</v>
      </c>
    </row>
    <row r="650" spans="1:8" x14ac:dyDescent="0.25">
      <c r="A650" s="1">
        <v>45372</v>
      </c>
      <c r="B650" t="s">
        <v>635</v>
      </c>
      <c r="C650" t="s">
        <v>6</v>
      </c>
      <c r="D650" t="s">
        <v>787</v>
      </c>
      <c r="E650" t="s">
        <v>781</v>
      </c>
      <c r="F650">
        <v>37480</v>
      </c>
      <c r="G650" s="2">
        <f t="shared" si="10"/>
        <v>5622</v>
      </c>
      <c r="H650">
        <v>4</v>
      </c>
    </row>
    <row r="651" spans="1:8" x14ac:dyDescent="0.25">
      <c r="A651" s="1">
        <v>45484</v>
      </c>
      <c r="B651" t="s">
        <v>636</v>
      </c>
      <c r="C651" t="s">
        <v>3</v>
      </c>
      <c r="D651" t="s">
        <v>786</v>
      </c>
      <c r="E651" t="s">
        <v>780</v>
      </c>
      <c r="F651">
        <v>77620</v>
      </c>
      <c r="G651" s="2">
        <f t="shared" si="10"/>
        <v>11643</v>
      </c>
      <c r="H651">
        <v>4</v>
      </c>
    </row>
    <row r="652" spans="1:8" x14ac:dyDescent="0.25">
      <c r="A652" s="1">
        <v>45390</v>
      </c>
      <c r="B652" t="s">
        <v>558</v>
      </c>
      <c r="C652" t="s">
        <v>3</v>
      </c>
      <c r="D652" t="s">
        <v>786</v>
      </c>
      <c r="E652" t="s">
        <v>779</v>
      </c>
      <c r="F652">
        <v>39820</v>
      </c>
      <c r="G652" s="2">
        <f t="shared" si="10"/>
        <v>5973</v>
      </c>
      <c r="H652">
        <v>1</v>
      </c>
    </row>
    <row r="653" spans="1:8" x14ac:dyDescent="0.25">
      <c r="A653" s="1">
        <v>45465</v>
      </c>
      <c r="B653" t="s">
        <v>637</v>
      </c>
      <c r="C653" t="s">
        <v>4</v>
      </c>
      <c r="D653" t="s">
        <v>786</v>
      </c>
      <c r="E653" t="s">
        <v>781</v>
      </c>
      <c r="F653">
        <v>14998</v>
      </c>
      <c r="G653" s="2">
        <f t="shared" si="10"/>
        <v>2249.6999999999998</v>
      </c>
      <c r="H653">
        <v>3</v>
      </c>
    </row>
    <row r="654" spans="1:8" x14ac:dyDescent="0.25">
      <c r="A654" s="1">
        <v>45452</v>
      </c>
      <c r="B654" t="s">
        <v>638</v>
      </c>
      <c r="C654" t="s">
        <v>8</v>
      </c>
      <c r="D654" t="s">
        <v>788</v>
      </c>
      <c r="E654" t="s">
        <v>778</v>
      </c>
      <c r="F654">
        <v>20079</v>
      </c>
      <c r="G654" s="2">
        <f t="shared" si="10"/>
        <v>3011.85</v>
      </c>
      <c r="H654">
        <v>1</v>
      </c>
    </row>
    <row r="655" spans="1:8" x14ac:dyDescent="0.25">
      <c r="A655" s="1">
        <v>45397</v>
      </c>
      <c r="B655" t="s">
        <v>639</v>
      </c>
      <c r="C655" t="s">
        <v>5</v>
      </c>
      <c r="D655" t="s">
        <v>787</v>
      </c>
      <c r="E655" t="s">
        <v>778</v>
      </c>
      <c r="F655">
        <v>3797</v>
      </c>
      <c r="G655" s="2">
        <f t="shared" si="10"/>
        <v>569.54999999999995</v>
      </c>
      <c r="H655">
        <v>4</v>
      </c>
    </row>
    <row r="656" spans="1:8" x14ac:dyDescent="0.25">
      <c r="A656" s="1">
        <v>45639</v>
      </c>
      <c r="B656" t="s">
        <v>640</v>
      </c>
      <c r="C656" t="s">
        <v>5</v>
      </c>
      <c r="D656" t="s">
        <v>787</v>
      </c>
      <c r="E656" t="s">
        <v>781</v>
      </c>
      <c r="F656">
        <v>71038</v>
      </c>
      <c r="G656" s="2">
        <f t="shared" si="10"/>
        <v>10655.699999999999</v>
      </c>
      <c r="H656">
        <v>4</v>
      </c>
    </row>
    <row r="657" spans="1:8" x14ac:dyDescent="0.25">
      <c r="A657" s="1">
        <v>45602</v>
      </c>
      <c r="B657" t="s">
        <v>641</v>
      </c>
      <c r="C657" t="s">
        <v>6</v>
      </c>
      <c r="D657" t="s">
        <v>787</v>
      </c>
      <c r="E657" t="s">
        <v>779</v>
      </c>
      <c r="F657">
        <v>67938</v>
      </c>
      <c r="G657" s="2">
        <f t="shared" si="10"/>
        <v>10190.699999999999</v>
      </c>
      <c r="H657">
        <v>3</v>
      </c>
    </row>
    <row r="658" spans="1:8" x14ac:dyDescent="0.25">
      <c r="A658" s="1">
        <v>45383</v>
      </c>
      <c r="B658" t="s">
        <v>642</v>
      </c>
      <c r="C658" t="s">
        <v>4</v>
      </c>
      <c r="D658" t="s">
        <v>786</v>
      </c>
      <c r="E658" t="s">
        <v>779</v>
      </c>
      <c r="F658">
        <v>7078</v>
      </c>
      <c r="G658" s="2">
        <f t="shared" si="10"/>
        <v>1061.7</v>
      </c>
      <c r="H658">
        <v>1</v>
      </c>
    </row>
    <row r="659" spans="1:8" x14ac:dyDescent="0.25">
      <c r="A659" s="1">
        <v>45344</v>
      </c>
      <c r="B659" t="s">
        <v>643</v>
      </c>
      <c r="C659" t="s">
        <v>8</v>
      </c>
      <c r="D659" t="s">
        <v>788</v>
      </c>
      <c r="E659" t="s">
        <v>778</v>
      </c>
      <c r="F659">
        <v>52033</v>
      </c>
      <c r="G659" s="2">
        <f t="shared" si="10"/>
        <v>7804.95</v>
      </c>
      <c r="H659">
        <v>4</v>
      </c>
    </row>
    <row r="660" spans="1:8" x14ac:dyDescent="0.25">
      <c r="A660" s="1">
        <v>45650</v>
      </c>
      <c r="B660" t="s">
        <v>644</v>
      </c>
      <c r="C660" t="s">
        <v>4</v>
      </c>
      <c r="D660" t="s">
        <v>786</v>
      </c>
      <c r="E660" t="s">
        <v>779</v>
      </c>
      <c r="F660">
        <v>17224</v>
      </c>
      <c r="G660" s="2">
        <f t="shared" si="10"/>
        <v>2583.6</v>
      </c>
      <c r="H660">
        <v>1</v>
      </c>
    </row>
    <row r="661" spans="1:8" x14ac:dyDescent="0.25">
      <c r="A661" s="1">
        <v>45349</v>
      </c>
      <c r="B661" t="s">
        <v>645</v>
      </c>
      <c r="C661" t="s">
        <v>7</v>
      </c>
      <c r="D661" t="s">
        <v>788</v>
      </c>
      <c r="E661" t="s">
        <v>778</v>
      </c>
      <c r="F661">
        <v>74221</v>
      </c>
      <c r="G661" s="2">
        <f t="shared" si="10"/>
        <v>11133.15</v>
      </c>
      <c r="H661">
        <v>2</v>
      </c>
    </row>
    <row r="662" spans="1:8" x14ac:dyDescent="0.25">
      <c r="A662" s="1">
        <v>45598</v>
      </c>
      <c r="B662" t="s">
        <v>646</v>
      </c>
      <c r="C662" t="s">
        <v>5</v>
      </c>
      <c r="D662" t="s">
        <v>787</v>
      </c>
      <c r="E662" t="s">
        <v>781</v>
      </c>
      <c r="F662">
        <v>47375</v>
      </c>
      <c r="G662" s="2">
        <f t="shared" si="10"/>
        <v>7106.25</v>
      </c>
      <c r="H662">
        <v>5</v>
      </c>
    </row>
    <row r="663" spans="1:8" x14ac:dyDescent="0.25">
      <c r="A663" s="1">
        <v>45531</v>
      </c>
      <c r="B663" t="s">
        <v>647</v>
      </c>
      <c r="C663" t="s">
        <v>3</v>
      </c>
      <c r="D663" t="s">
        <v>786</v>
      </c>
      <c r="E663" t="s">
        <v>781</v>
      </c>
      <c r="F663">
        <v>9426</v>
      </c>
      <c r="G663" s="2">
        <f t="shared" si="10"/>
        <v>1413.8999999999999</v>
      </c>
      <c r="H663">
        <v>5</v>
      </c>
    </row>
    <row r="664" spans="1:8" x14ac:dyDescent="0.25">
      <c r="A664" s="1">
        <v>45581</v>
      </c>
      <c r="B664" t="s">
        <v>648</v>
      </c>
      <c r="C664" t="s">
        <v>8</v>
      </c>
      <c r="D664" t="s">
        <v>788</v>
      </c>
      <c r="E664" t="s">
        <v>778</v>
      </c>
      <c r="F664">
        <v>1572</v>
      </c>
      <c r="G664" s="2">
        <f t="shared" si="10"/>
        <v>235.79999999999998</v>
      </c>
      <c r="H664">
        <v>3</v>
      </c>
    </row>
    <row r="665" spans="1:8" x14ac:dyDescent="0.25">
      <c r="A665" s="1">
        <v>45557</v>
      </c>
      <c r="B665" t="s">
        <v>649</v>
      </c>
      <c r="C665" t="s">
        <v>6</v>
      </c>
      <c r="D665" t="s">
        <v>787</v>
      </c>
      <c r="E665" t="s">
        <v>781</v>
      </c>
      <c r="F665">
        <v>55605</v>
      </c>
      <c r="G665" s="2">
        <f t="shared" si="10"/>
        <v>8340.75</v>
      </c>
      <c r="H665">
        <v>2</v>
      </c>
    </row>
    <row r="666" spans="1:8" x14ac:dyDescent="0.25">
      <c r="A666" s="1">
        <v>45439</v>
      </c>
      <c r="B666" t="s">
        <v>650</v>
      </c>
      <c r="C666" t="s">
        <v>8</v>
      </c>
      <c r="D666" t="s">
        <v>788</v>
      </c>
      <c r="E666" t="s">
        <v>778</v>
      </c>
      <c r="F666">
        <v>60442</v>
      </c>
      <c r="G666" s="2">
        <f t="shared" si="10"/>
        <v>9066.2999999999993</v>
      </c>
      <c r="H666">
        <v>5</v>
      </c>
    </row>
    <row r="667" spans="1:8" x14ac:dyDescent="0.25">
      <c r="A667" s="1">
        <v>45589</v>
      </c>
      <c r="B667" t="s">
        <v>651</v>
      </c>
      <c r="C667" t="s">
        <v>6</v>
      </c>
      <c r="D667" t="s">
        <v>787</v>
      </c>
      <c r="E667" t="s">
        <v>780</v>
      </c>
      <c r="F667">
        <v>63297</v>
      </c>
      <c r="G667" s="2">
        <f t="shared" si="10"/>
        <v>9494.5499999999993</v>
      </c>
      <c r="H667">
        <v>3</v>
      </c>
    </row>
    <row r="668" spans="1:8" x14ac:dyDescent="0.25">
      <c r="A668" s="1">
        <v>45391</v>
      </c>
      <c r="B668" t="s">
        <v>652</v>
      </c>
      <c r="C668" t="s">
        <v>3</v>
      </c>
      <c r="D668" t="s">
        <v>786</v>
      </c>
      <c r="E668" t="s">
        <v>781</v>
      </c>
      <c r="F668">
        <v>48058</v>
      </c>
      <c r="G668" s="2">
        <f t="shared" si="10"/>
        <v>7208.7</v>
      </c>
      <c r="H668">
        <v>4</v>
      </c>
    </row>
    <row r="669" spans="1:8" x14ac:dyDescent="0.25">
      <c r="A669" s="1">
        <v>45605</v>
      </c>
      <c r="B669" t="s">
        <v>653</v>
      </c>
      <c r="C669" t="s">
        <v>7</v>
      </c>
      <c r="D669" t="s">
        <v>788</v>
      </c>
      <c r="E669" t="s">
        <v>780</v>
      </c>
      <c r="F669">
        <v>3791</v>
      </c>
      <c r="G669" s="2">
        <f t="shared" si="10"/>
        <v>568.65</v>
      </c>
      <c r="H669">
        <v>2</v>
      </c>
    </row>
    <row r="670" spans="1:8" x14ac:dyDescent="0.25">
      <c r="A670" s="1">
        <v>45454</v>
      </c>
      <c r="B670" t="s">
        <v>654</v>
      </c>
      <c r="C670" t="s">
        <v>6</v>
      </c>
      <c r="D670" t="s">
        <v>787</v>
      </c>
      <c r="E670" t="s">
        <v>780</v>
      </c>
      <c r="F670">
        <v>8152</v>
      </c>
      <c r="G670" s="2">
        <f t="shared" si="10"/>
        <v>1222.8</v>
      </c>
      <c r="H670">
        <v>5</v>
      </c>
    </row>
    <row r="671" spans="1:8" x14ac:dyDescent="0.25">
      <c r="A671" s="1">
        <v>45475</v>
      </c>
      <c r="B671" t="s">
        <v>655</v>
      </c>
      <c r="C671" t="s">
        <v>7</v>
      </c>
      <c r="D671" t="s">
        <v>788</v>
      </c>
      <c r="E671" t="s">
        <v>779</v>
      </c>
      <c r="F671">
        <v>38879</v>
      </c>
      <c r="G671" s="2">
        <f t="shared" si="10"/>
        <v>5831.8499999999995</v>
      </c>
      <c r="H671">
        <v>2</v>
      </c>
    </row>
    <row r="672" spans="1:8" x14ac:dyDescent="0.25">
      <c r="A672" s="1">
        <v>45331</v>
      </c>
      <c r="B672" t="s">
        <v>656</v>
      </c>
      <c r="C672" t="s">
        <v>7</v>
      </c>
      <c r="D672" t="s">
        <v>788</v>
      </c>
      <c r="E672" t="s">
        <v>781</v>
      </c>
      <c r="F672">
        <v>46324</v>
      </c>
      <c r="G672" s="2">
        <f t="shared" si="10"/>
        <v>6948.5999999999995</v>
      </c>
      <c r="H672">
        <v>5</v>
      </c>
    </row>
    <row r="673" spans="1:8" x14ac:dyDescent="0.25">
      <c r="A673" s="1">
        <v>45395</v>
      </c>
      <c r="B673" t="s">
        <v>657</v>
      </c>
      <c r="C673" t="s">
        <v>7</v>
      </c>
      <c r="D673" t="s">
        <v>788</v>
      </c>
      <c r="E673" t="s">
        <v>780</v>
      </c>
      <c r="F673">
        <v>43631</v>
      </c>
      <c r="G673" s="2">
        <f t="shared" si="10"/>
        <v>6544.65</v>
      </c>
      <c r="H673">
        <v>4</v>
      </c>
    </row>
    <row r="674" spans="1:8" x14ac:dyDescent="0.25">
      <c r="A674" s="1">
        <v>45570</v>
      </c>
      <c r="B674" t="s">
        <v>658</v>
      </c>
      <c r="C674" t="s">
        <v>5</v>
      </c>
      <c r="D674" t="s">
        <v>787</v>
      </c>
      <c r="E674" t="s">
        <v>780</v>
      </c>
      <c r="F674">
        <v>55132</v>
      </c>
      <c r="G674" s="2">
        <f t="shared" si="10"/>
        <v>8269.7999999999993</v>
      </c>
      <c r="H674">
        <v>3</v>
      </c>
    </row>
    <row r="675" spans="1:8" x14ac:dyDescent="0.25">
      <c r="A675" s="1">
        <v>45500</v>
      </c>
      <c r="B675" t="s">
        <v>659</v>
      </c>
      <c r="C675" t="s">
        <v>5</v>
      </c>
      <c r="D675" t="s">
        <v>787</v>
      </c>
      <c r="E675" t="s">
        <v>779</v>
      </c>
      <c r="F675">
        <v>54023</v>
      </c>
      <c r="G675" s="2">
        <f t="shared" si="10"/>
        <v>8103.45</v>
      </c>
      <c r="H675">
        <v>3</v>
      </c>
    </row>
    <row r="676" spans="1:8" x14ac:dyDescent="0.25">
      <c r="A676" s="1">
        <v>45413</v>
      </c>
      <c r="B676" t="s">
        <v>660</v>
      </c>
      <c r="C676" t="s">
        <v>5</v>
      </c>
      <c r="D676" t="s">
        <v>787</v>
      </c>
      <c r="E676" t="s">
        <v>781</v>
      </c>
      <c r="F676">
        <v>42605</v>
      </c>
      <c r="G676" s="2">
        <f t="shared" si="10"/>
        <v>6390.75</v>
      </c>
      <c r="H676">
        <v>1</v>
      </c>
    </row>
    <row r="677" spans="1:8" x14ac:dyDescent="0.25">
      <c r="A677" s="1">
        <v>45404</v>
      </c>
      <c r="B677" t="s">
        <v>661</v>
      </c>
      <c r="C677" t="s">
        <v>8</v>
      </c>
      <c r="D677" t="s">
        <v>788</v>
      </c>
      <c r="E677" t="s">
        <v>781</v>
      </c>
      <c r="F677">
        <v>57189</v>
      </c>
      <c r="G677" s="2">
        <f t="shared" si="10"/>
        <v>8578.35</v>
      </c>
      <c r="H677">
        <v>4</v>
      </c>
    </row>
    <row r="678" spans="1:8" x14ac:dyDescent="0.25">
      <c r="A678" s="1">
        <v>45526</v>
      </c>
      <c r="B678" t="s">
        <v>662</v>
      </c>
      <c r="C678" t="s">
        <v>4</v>
      </c>
      <c r="D678" t="s">
        <v>786</v>
      </c>
      <c r="E678" t="s">
        <v>781</v>
      </c>
      <c r="F678">
        <v>33296</v>
      </c>
      <c r="G678" s="2">
        <f t="shared" si="10"/>
        <v>4994.3999999999996</v>
      </c>
      <c r="H678">
        <v>3</v>
      </c>
    </row>
    <row r="679" spans="1:8" x14ac:dyDescent="0.25">
      <c r="A679" s="1">
        <v>45641</v>
      </c>
      <c r="B679" t="s">
        <v>663</v>
      </c>
      <c r="C679" t="s">
        <v>8</v>
      </c>
      <c r="D679" t="s">
        <v>788</v>
      </c>
      <c r="E679" t="s">
        <v>781</v>
      </c>
      <c r="F679">
        <v>16666</v>
      </c>
      <c r="G679" s="2">
        <f t="shared" si="10"/>
        <v>2499.9</v>
      </c>
      <c r="H679">
        <v>1</v>
      </c>
    </row>
    <row r="680" spans="1:8" x14ac:dyDescent="0.25">
      <c r="A680" s="1">
        <v>45299</v>
      </c>
      <c r="B680" t="s">
        <v>664</v>
      </c>
      <c r="C680" t="s">
        <v>6</v>
      </c>
      <c r="D680" t="s">
        <v>787</v>
      </c>
      <c r="E680" t="s">
        <v>779</v>
      </c>
      <c r="F680">
        <v>14781</v>
      </c>
      <c r="G680" s="2">
        <f t="shared" si="10"/>
        <v>2217.15</v>
      </c>
      <c r="H680">
        <v>1</v>
      </c>
    </row>
    <row r="681" spans="1:8" x14ac:dyDescent="0.25">
      <c r="A681" s="1">
        <v>45358</v>
      </c>
      <c r="B681" t="s">
        <v>665</v>
      </c>
      <c r="C681" t="s">
        <v>7</v>
      </c>
      <c r="D681" t="s">
        <v>788</v>
      </c>
      <c r="E681" t="s">
        <v>778</v>
      </c>
      <c r="F681">
        <v>39370</v>
      </c>
      <c r="G681" s="2">
        <f t="shared" si="10"/>
        <v>5905.5</v>
      </c>
      <c r="H681">
        <v>3</v>
      </c>
    </row>
    <row r="682" spans="1:8" x14ac:dyDescent="0.25">
      <c r="A682" s="1">
        <v>45556</v>
      </c>
      <c r="B682" t="s">
        <v>666</v>
      </c>
      <c r="C682" t="s">
        <v>3</v>
      </c>
      <c r="D682" t="s">
        <v>786</v>
      </c>
      <c r="E682" t="s">
        <v>778</v>
      </c>
      <c r="F682">
        <v>17718</v>
      </c>
      <c r="G682" s="2">
        <f t="shared" si="10"/>
        <v>2657.7</v>
      </c>
      <c r="H682">
        <v>5</v>
      </c>
    </row>
    <row r="683" spans="1:8" x14ac:dyDescent="0.25">
      <c r="A683" s="1">
        <v>45420</v>
      </c>
      <c r="B683" t="s">
        <v>667</v>
      </c>
      <c r="C683" t="s">
        <v>3</v>
      </c>
      <c r="D683" t="s">
        <v>786</v>
      </c>
      <c r="E683" t="s">
        <v>778</v>
      </c>
      <c r="F683">
        <v>23617</v>
      </c>
      <c r="G683" s="2">
        <f t="shared" si="10"/>
        <v>3542.5499999999997</v>
      </c>
      <c r="H683">
        <v>5</v>
      </c>
    </row>
    <row r="684" spans="1:8" x14ac:dyDescent="0.25">
      <c r="A684" s="1">
        <v>45547</v>
      </c>
      <c r="B684" t="s">
        <v>668</v>
      </c>
      <c r="C684" t="s">
        <v>3</v>
      </c>
      <c r="D684" t="s">
        <v>786</v>
      </c>
      <c r="E684" t="s">
        <v>781</v>
      </c>
      <c r="F684">
        <v>16906</v>
      </c>
      <c r="G684" s="2">
        <f t="shared" si="10"/>
        <v>2535.9</v>
      </c>
      <c r="H684">
        <v>2</v>
      </c>
    </row>
    <row r="685" spans="1:8" x14ac:dyDescent="0.25">
      <c r="A685" s="1">
        <v>45614</v>
      </c>
      <c r="B685" t="s">
        <v>669</v>
      </c>
      <c r="C685" t="s">
        <v>7</v>
      </c>
      <c r="D685" t="s">
        <v>788</v>
      </c>
      <c r="E685" t="s">
        <v>781</v>
      </c>
      <c r="F685">
        <v>51837</v>
      </c>
      <c r="G685" s="2">
        <f t="shared" si="10"/>
        <v>7775.5499999999993</v>
      </c>
      <c r="H685">
        <v>5</v>
      </c>
    </row>
    <row r="686" spans="1:8" x14ac:dyDescent="0.25">
      <c r="A686" s="1">
        <v>45618</v>
      </c>
      <c r="B686" t="s">
        <v>670</v>
      </c>
      <c r="C686" t="s">
        <v>5</v>
      </c>
      <c r="D686" t="s">
        <v>787</v>
      </c>
      <c r="E686" t="s">
        <v>781</v>
      </c>
      <c r="F686">
        <v>63944</v>
      </c>
      <c r="G686" s="2">
        <f t="shared" si="10"/>
        <v>9591.6</v>
      </c>
      <c r="H686">
        <v>3</v>
      </c>
    </row>
    <row r="687" spans="1:8" x14ac:dyDescent="0.25">
      <c r="A687" s="1">
        <v>45479</v>
      </c>
      <c r="B687" t="s">
        <v>671</v>
      </c>
      <c r="C687" t="s">
        <v>5</v>
      </c>
      <c r="D687" t="s">
        <v>787</v>
      </c>
      <c r="E687" t="s">
        <v>778</v>
      </c>
      <c r="F687">
        <v>34511</v>
      </c>
      <c r="G687" s="2">
        <f t="shared" si="10"/>
        <v>5176.6499999999996</v>
      </c>
      <c r="H687">
        <v>4</v>
      </c>
    </row>
    <row r="688" spans="1:8" x14ac:dyDescent="0.25">
      <c r="A688" s="1">
        <v>45524</v>
      </c>
      <c r="B688" t="s">
        <v>672</v>
      </c>
      <c r="C688" t="s">
        <v>6</v>
      </c>
      <c r="D688" t="s">
        <v>787</v>
      </c>
      <c r="E688" t="s">
        <v>781</v>
      </c>
      <c r="F688">
        <v>5994</v>
      </c>
      <c r="G688" s="2">
        <f t="shared" si="10"/>
        <v>899.1</v>
      </c>
      <c r="H688">
        <v>4</v>
      </c>
    </row>
    <row r="689" spans="1:8" x14ac:dyDescent="0.25">
      <c r="A689" s="1">
        <v>45524</v>
      </c>
      <c r="B689" t="s">
        <v>673</v>
      </c>
      <c r="C689" t="s">
        <v>3</v>
      </c>
      <c r="D689" t="s">
        <v>786</v>
      </c>
      <c r="E689" t="s">
        <v>781</v>
      </c>
      <c r="F689">
        <v>38819</v>
      </c>
      <c r="G689" s="2">
        <f t="shared" si="10"/>
        <v>5822.8499999999995</v>
      </c>
      <c r="H689">
        <v>3</v>
      </c>
    </row>
    <row r="690" spans="1:8" x14ac:dyDescent="0.25">
      <c r="A690" s="1">
        <v>45610</v>
      </c>
      <c r="B690" t="s">
        <v>674</v>
      </c>
      <c r="C690" t="s">
        <v>8</v>
      </c>
      <c r="D690" t="s">
        <v>788</v>
      </c>
      <c r="E690" t="s">
        <v>780</v>
      </c>
      <c r="F690">
        <v>33889</v>
      </c>
      <c r="G690" s="2">
        <f t="shared" si="10"/>
        <v>5083.3499999999995</v>
      </c>
      <c r="H690">
        <v>5</v>
      </c>
    </row>
    <row r="691" spans="1:8" x14ac:dyDescent="0.25">
      <c r="A691" s="1">
        <v>45379</v>
      </c>
      <c r="B691" t="s">
        <v>675</v>
      </c>
      <c r="C691" t="s">
        <v>7</v>
      </c>
      <c r="D691" t="s">
        <v>788</v>
      </c>
      <c r="E691" t="s">
        <v>780</v>
      </c>
      <c r="F691">
        <v>77783</v>
      </c>
      <c r="G691" s="2">
        <f t="shared" si="10"/>
        <v>11667.449999999999</v>
      </c>
      <c r="H691">
        <v>1</v>
      </c>
    </row>
    <row r="692" spans="1:8" x14ac:dyDescent="0.25">
      <c r="A692" s="1">
        <v>45619</v>
      </c>
      <c r="B692" t="s">
        <v>262</v>
      </c>
      <c r="C692" t="s">
        <v>8</v>
      </c>
      <c r="D692" t="s">
        <v>788</v>
      </c>
      <c r="E692" t="s">
        <v>779</v>
      </c>
      <c r="F692">
        <v>19199</v>
      </c>
      <c r="G692" s="2">
        <f t="shared" si="10"/>
        <v>2879.85</v>
      </c>
      <c r="H692">
        <v>4</v>
      </c>
    </row>
    <row r="693" spans="1:8" x14ac:dyDescent="0.25">
      <c r="A693" s="1">
        <v>45493</v>
      </c>
      <c r="B693" t="s">
        <v>676</v>
      </c>
      <c r="C693" t="s">
        <v>4</v>
      </c>
      <c r="D693" t="s">
        <v>786</v>
      </c>
      <c r="E693" t="s">
        <v>778</v>
      </c>
      <c r="F693">
        <v>19137</v>
      </c>
      <c r="G693" s="2">
        <f t="shared" si="10"/>
        <v>2870.5499999999997</v>
      </c>
      <c r="H693">
        <v>3</v>
      </c>
    </row>
    <row r="694" spans="1:8" x14ac:dyDescent="0.25">
      <c r="A694" s="1">
        <v>45385</v>
      </c>
      <c r="B694" t="s">
        <v>677</v>
      </c>
      <c r="C694" t="s">
        <v>3</v>
      </c>
      <c r="D694" t="s">
        <v>786</v>
      </c>
      <c r="E694" t="s">
        <v>779</v>
      </c>
      <c r="F694">
        <v>13161</v>
      </c>
      <c r="G694" s="2">
        <f t="shared" si="10"/>
        <v>1974.1499999999999</v>
      </c>
      <c r="H694">
        <v>2</v>
      </c>
    </row>
    <row r="695" spans="1:8" x14ac:dyDescent="0.25">
      <c r="A695" s="1">
        <v>45446</v>
      </c>
      <c r="B695" t="s">
        <v>678</v>
      </c>
      <c r="C695" t="s">
        <v>8</v>
      </c>
      <c r="D695" t="s">
        <v>788</v>
      </c>
      <c r="E695" t="s">
        <v>779</v>
      </c>
      <c r="F695">
        <v>41183</v>
      </c>
      <c r="G695" s="2">
        <f t="shared" si="10"/>
        <v>6177.45</v>
      </c>
      <c r="H695">
        <v>2</v>
      </c>
    </row>
    <row r="696" spans="1:8" x14ac:dyDescent="0.25">
      <c r="A696" s="1">
        <v>45475</v>
      </c>
      <c r="B696" t="s">
        <v>679</v>
      </c>
      <c r="C696" t="s">
        <v>3</v>
      </c>
      <c r="D696" t="s">
        <v>786</v>
      </c>
      <c r="E696" t="s">
        <v>780</v>
      </c>
      <c r="F696">
        <v>19463</v>
      </c>
      <c r="G696" s="2">
        <f t="shared" si="10"/>
        <v>2919.45</v>
      </c>
      <c r="H696">
        <v>3</v>
      </c>
    </row>
    <row r="697" spans="1:8" x14ac:dyDescent="0.25">
      <c r="A697" s="1">
        <v>45582</v>
      </c>
      <c r="B697" t="s">
        <v>680</v>
      </c>
      <c r="C697" t="s">
        <v>7</v>
      </c>
      <c r="D697" t="s">
        <v>788</v>
      </c>
      <c r="E697" t="s">
        <v>780</v>
      </c>
      <c r="F697">
        <v>74313</v>
      </c>
      <c r="G697" s="2">
        <f t="shared" si="10"/>
        <v>11146.949999999999</v>
      </c>
      <c r="H697">
        <v>4</v>
      </c>
    </row>
    <row r="698" spans="1:8" x14ac:dyDescent="0.25">
      <c r="A698" s="1">
        <v>45399</v>
      </c>
      <c r="B698" t="s">
        <v>681</v>
      </c>
      <c r="C698" t="s">
        <v>6</v>
      </c>
      <c r="D698" t="s">
        <v>787</v>
      </c>
      <c r="E698" t="s">
        <v>781</v>
      </c>
      <c r="F698">
        <v>48182</v>
      </c>
      <c r="G698" s="2">
        <f t="shared" si="10"/>
        <v>7227.3</v>
      </c>
      <c r="H698">
        <v>3</v>
      </c>
    </row>
    <row r="699" spans="1:8" x14ac:dyDescent="0.25">
      <c r="A699" s="1">
        <v>45336</v>
      </c>
      <c r="B699" t="s">
        <v>682</v>
      </c>
      <c r="C699" t="s">
        <v>8</v>
      </c>
      <c r="D699" t="s">
        <v>788</v>
      </c>
      <c r="E699" t="s">
        <v>781</v>
      </c>
      <c r="F699">
        <v>23196</v>
      </c>
      <c r="G699" s="2">
        <f t="shared" si="10"/>
        <v>3479.4</v>
      </c>
      <c r="H699">
        <v>2</v>
      </c>
    </row>
    <row r="700" spans="1:8" x14ac:dyDescent="0.25">
      <c r="A700" s="1">
        <v>45549</v>
      </c>
      <c r="B700" t="s">
        <v>683</v>
      </c>
      <c r="C700" t="s">
        <v>8</v>
      </c>
      <c r="D700" t="s">
        <v>788</v>
      </c>
      <c r="E700" t="s">
        <v>779</v>
      </c>
      <c r="F700">
        <v>54604</v>
      </c>
      <c r="G700" s="2">
        <f t="shared" si="10"/>
        <v>8190.5999999999995</v>
      </c>
      <c r="H700">
        <v>5</v>
      </c>
    </row>
    <row r="701" spans="1:8" x14ac:dyDescent="0.25">
      <c r="A701" s="1">
        <v>45561</v>
      </c>
      <c r="B701" t="s">
        <v>684</v>
      </c>
      <c r="C701" t="s">
        <v>4</v>
      </c>
      <c r="D701" t="s">
        <v>786</v>
      </c>
      <c r="E701" t="s">
        <v>778</v>
      </c>
      <c r="F701">
        <v>57271</v>
      </c>
      <c r="G701" s="2">
        <f t="shared" si="10"/>
        <v>8590.65</v>
      </c>
      <c r="H701">
        <v>4</v>
      </c>
    </row>
    <row r="702" spans="1:8" x14ac:dyDescent="0.25">
      <c r="A702" s="1">
        <v>45465</v>
      </c>
      <c r="B702" t="s">
        <v>685</v>
      </c>
      <c r="C702" t="s">
        <v>8</v>
      </c>
      <c r="D702" t="s">
        <v>788</v>
      </c>
      <c r="E702" t="s">
        <v>780</v>
      </c>
      <c r="F702">
        <v>73113</v>
      </c>
      <c r="G702" s="2">
        <f t="shared" si="10"/>
        <v>10966.949999999999</v>
      </c>
      <c r="H702">
        <v>3</v>
      </c>
    </row>
    <row r="703" spans="1:8" x14ac:dyDescent="0.25">
      <c r="A703" s="1">
        <v>45481</v>
      </c>
      <c r="B703" t="s">
        <v>686</v>
      </c>
      <c r="C703" t="s">
        <v>4</v>
      </c>
      <c r="D703" t="s">
        <v>786</v>
      </c>
      <c r="E703" t="s">
        <v>778</v>
      </c>
      <c r="F703">
        <v>75372</v>
      </c>
      <c r="G703" s="2">
        <f t="shared" si="10"/>
        <v>11305.8</v>
      </c>
      <c r="H703">
        <v>4</v>
      </c>
    </row>
    <row r="704" spans="1:8" x14ac:dyDescent="0.25">
      <c r="A704" s="1">
        <v>45618</v>
      </c>
      <c r="B704" t="s">
        <v>198</v>
      </c>
      <c r="C704" t="s">
        <v>5</v>
      </c>
      <c r="D704" t="s">
        <v>787</v>
      </c>
      <c r="E704" t="s">
        <v>779</v>
      </c>
      <c r="F704">
        <v>15182</v>
      </c>
      <c r="G704" s="2">
        <f t="shared" si="10"/>
        <v>2277.2999999999997</v>
      </c>
      <c r="H704">
        <v>4</v>
      </c>
    </row>
    <row r="705" spans="1:8" x14ac:dyDescent="0.25">
      <c r="A705" s="1">
        <v>45629</v>
      </c>
      <c r="B705" t="s">
        <v>687</v>
      </c>
      <c r="C705" t="s">
        <v>8</v>
      </c>
      <c r="D705" t="s">
        <v>788</v>
      </c>
      <c r="E705" t="s">
        <v>780</v>
      </c>
      <c r="F705">
        <v>78536</v>
      </c>
      <c r="G705" s="2">
        <f t="shared" si="10"/>
        <v>11780.4</v>
      </c>
      <c r="H705">
        <v>4</v>
      </c>
    </row>
    <row r="706" spans="1:8" x14ac:dyDescent="0.25">
      <c r="A706" s="1">
        <v>45357</v>
      </c>
      <c r="B706" t="s">
        <v>42</v>
      </c>
      <c r="C706" t="s">
        <v>4</v>
      </c>
      <c r="D706" t="s">
        <v>786</v>
      </c>
      <c r="E706" t="s">
        <v>779</v>
      </c>
      <c r="F706">
        <v>17526</v>
      </c>
      <c r="G706" s="2">
        <f t="shared" si="10"/>
        <v>2628.9</v>
      </c>
      <c r="H706">
        <v>1</v>
      </c>
    </row>
    <row r="707" spans="1:8" x14ac:dyDescent="0.25">
      <c r="A707" s="1">
        <v>45448</v>
      </c>
      <c r="B707" t="s">
        <v>688</v>
      </c>
      <c r="C707" t="s">
        <v>6</v>
      </c>
      <c r="D707" t="s">
        <v>787</v>
      </c>
      <c r="E707" t="s">
        <v>780</v>
      </c>
      <c r="F707">
        <v>35083</v>
      </c>
      <c r="G707" s="2">
        <f t="shared" ref="G707:G770" si="11">F707*0.15</f>
        <v>5262.45</v>
      </c>
      <c r="H707">
        <v>2</v>
      </c>
    </row>
    <row r="708" spans="1:8" x14ac:dyDescent="0.25">
      <c r="A708" s="1">
        <v>45297</v>
      </c>
      <c r="B708" t="s">
        <v>689</v>
      </c>
      <c r="C708" t="s">
        <v>3</v>
      </c>
      <c r="D708" t="s">
        <v>786</v>
      </c>
      <c r="E708" t="s">
        <v>781</v>
      </c>
      <c r="F708">
        <v>67162</v>
      </c>
      <c r="G708" s="2">
        <f t="shared" si="11"/>
        <v>10074.299999999999</v>
      </c>
      <c r="H708">
        <v>4</v>
      </c>
    </row>
    <row r="709" spans="1:8" x14ac:dyDescent="0.25">
      <c r="A709" s="1">
        <v>45645</v>
      </c>
      <c r="B709" t="s">
        <v>690</v>
      </c>
      <c r="C709" t="s">
        <v>6</v>
      </c>
      <c r="D709" t="s">
        <v>787</v>
      </c>
      <c r="E709" t="s">
        <v>779</v>
      </c>
      <c r="F709">
        <v>23034</v>
      </c>
      <c r="G709" s="2">
        <f t="shared" si="11"/>
        <v>3455.1</v>
      </c>
      <c r="H709">
        <v>1</v>
      </c>
    </row>
    <row r="710" spans="1:8" x14ac:dyDescent="0.25">
      <c r="A710" s="1">
        <v>45474</v>
      </c>
      <c r="B710" t="s">
        <v>691</v>
      </c>
      <c r="C710" t="s">
        <v>5</v>
      </c>
      <c r="D710" t="s">
        <v>787</v>
      </c>
      <c r="E710" t="s">
        <v>779</v>
      </c>
      <c r="F710">
        <v>10798</v>
      </c>
      <c r="G710" s="2">
        <f t="shared" si="11"/>
        <v>1619.7</v>
      </c>
      <c r="H710">
        <v>3</v>
      </c>
    </row>
    <row r="711" spans="1:8" x14ac:dyDescent="0.25">
      <c r="A711" s="1">
        <v>45611</v>
      </c>
      <c r="B711" t="s">
        <v>692</v>
      </c>
      <c r="C711" t="s">
        <v>4</v>
      </c>
      <c r="D711" t="s">
        <v>786</v>
      </c>
      <c r="E711" t="s">
        <v>778</v>
      </c>
      <c r="F711">
        <v>18000</v>
      </c>
      <c r="G711" s="2">
        <f t="shared" si="11"/>
        <v>2700</v>
      </c>
      <c r="H711">
        <v>1</v>
      </c>
    </row>
    <row r="712" spans="1:8" x14ac:dyDescent="0.25">
      <c r="A712" s="1">
        <v>45310</v>
      </c>
      <c r="B712" t="s">
        <v>693</v>
      </c>
      <c r="C712" t="s">
        <v>6</v>
      </c>
      <c r="D712" t="s">
        <v>787</v>
      </c>
      <c r="E712" t="s">
        <v>780</v>
      </c>
      <c r="F712">
        <v>38416</v>
      </c>
      <c r="G712" s="2">
        <f t="shared" si="11"/>
        <v>5762.4</v>
      </c>
      <c r="H712">
        <v>5</v>
      </c>
    </row>
    <row r="713" spans="1:8" x14ac:dyDescent="0.25">
      <c r="A713" s="1">
        <v>45460</v>
      </c>
      <c r="B713" t="s">
        <v>694</v>
      </c>
      <c r="C713" t="s">
        <v>3</v>
      </c>
      <c r="D713" t="s">
        <v>786</v>
      </c>
      <c r="E713" t="s">
        <v>780</v>
      </c>
      <c r="F713">
        <v>4813</v>
      </c>
      <c r="G713" s="2">
        <f t="shared" si="11"/>
        <v>721.94999999999993</v>
      </c>
      <c r="H713">
        <v>2</v>
      </c>
    </row>
    <row r="714" spans="1:8" x14ac:dyDescent="0.25">
      <c r="A714" s="1">
        <v>45315</v>
      </c>
      <c r="B714" t="s">
        <v>695</v>
      </c>
      <c r="C714" t="s">
        <v>8</v>
      </c>
      <c r="D714" t="s">
        <v>788</v>
      </c>
      <c r="E714" t="s">
        <v>779</v>
      </c>
      <c r="F714">
        <v>25365</v>
      </c>
      <c r="G714" s="2">
        <f t="shared" si="11"/>
        <v>3804.75</v>
      </c>
      <c r="H714">
        <v>5</v>
      </c>
    </row>
    <row r="715" spans="1:8" x14ac:dyDescent="0.25">
      <c r="A715" s="1">
        <v>45582</v>
      </c>
      <c r="B715" t="s">
        <v>696</v>
      </c>
      <c r="C715" t="s">
        <v>6</v>
      </c>
      <c r="D715" t="s">
        <v>787</v>
      </c>
      <c r="E715" t="s">
        <v>781</v>
      </c>
      <c r="F715">
        <v>18056</v>
      </c>
      <c r="G715" s="2">
        <f t="shared" si="11"/>
        <v>2708.4</v>
      </c>
      <c r="H715">
        <v>2</v>
      </c>
    </row>
    <row r="716" spans="1:8" x14ac:dyDescent="0.25">
      <c r="A716" s="1">
        <v>45515</v>
      </c>
      <c r="B716" t="s">
        <v>697</v>
      </c>
      <c r="C716" t="s">
        <v>7</v>
      </c>
      <c r="D716" t="s">
        <v>788</v>
      </c>
      <c r="E716" t="s">
        <v>778</v>
      </c>
      <c r="F716">
        <v>54980</v>
      </c>
      <c r="G716" s="2">
        <f t="shared" si="11"/>
        <v>8247</v>
      </c>
      <c r="H716">
        <v>3</v>
      </c>
    </row>
    <row r="717" spans="1:8" x14ac:dyDescent="0.25">
      <c r="A717" s="1">
        <v>45618</v>
      </c>
      <c r="B717" t="s">
        <v>698</v>
      </c>
      <c r="C717" t="s">
        <v>3</v>
      </c>
      <c r="D717" t="s">
        <v>786</v>
      </c>
      <c r="E717" t="s">
        <v>780</v>
      </c>
      <c r="F717">
        <v>31858</v>
      </c>
      <c r="G717" s="2">
        <f t="shared" si="11"/>
        <v>4778.7</v>
      </c>
      <c r="H717">
        <v>3</v>
      </c>
    </row>
    <row r="718" spans="1:8" x14ac:dyDescent="0.25">
      <c r="A718" s="1">
        <v>45491</v>
      </c>
      <c r="B718" t="s">
        <v>699</v>
      </c>
      <c r="C718" t="s">
        <v>3</v>
      </c>
      <c r="D718" t="s">
        <v>786</v>
      </c>
      <c r="E718" t="s">
        <v>781</v>
      </c>
      <c r="F718">
        <v>21633</v>
      </c>
      <c r="G718" s="2">
        <f t="shared" si="11"/>
        <v>3244.95</v>
      </c>
      <c r="H718">
        <v>4</v>
      </c>
    </row>
    <row r="719" spans="1:8" x14ac:dyDescent="0.25">
      <c r="A719" s="1">
        <v>45301</v>
      </c>
      <c r="B719" t="s">
        <v>53</v>
      </c>
      <c r="C719" t="s">
        <v>5</v>
      </c>
      <c r="D719" t="s">
        <v>787</v>
      </c>
      <c r="E719" t="s">
        <v>779</v>
      </c>
      <c r="F719">
        <v>64952</v>
      </c>
      <c r="G719" s="2">
        <f t="shared" si="11"/>
        <v>9742.7999999999993</v>
      </c>
      <c r="H719">
        <v>4</v>
      </c>
    </row>
    <row r="720" spans="1:8" x14ac:dyDescent="0.25">
      <c r="A720" s="1">
        <v>45512</v>
      </c>
      <c r="B720" t="s">
        <v>700</v>
      </c>
      <c r="C720" t="s">
        <v>6</v>
      </c>
      <c r="D720" t="s">
        <v>787</v>
      </c>
      <c r="E720" t="s">
        <v>779</v>
      </c>
      <c r="F720">
        <v>28205</v>
      </c>
      <c r="G720" s="2">
        <f t="shared" si="11"/>
        <v>4230.75</v>
      </c>
      <c r="H720">
        <v>2</v>
      </c>
    </row>
    <row r="721" spans="1:8" x14ac:dyDescent="0.25">
      <c r="A721" s="1">
        <v>45352</v>
      </c>
      <c r="B721" t="s">
        <v>701</v>
      </c>
      <c r="C721" t="s">
        <v>4</v>
      </c>
      <c r="D721" t="s">
        <v>786</v>
      </c>
      <c r="E721" t="s">
        <v>780</v>
      </c>
      <c r="F721">
        <v>41570</v>
      </c>
      <c r="G721" s="2">
        <f t="shared" si="11"/>
        <v>6235.5</v>
      </c>
      <c r="H721">
        <v>1</v>
      </c>
    </row>
    <row r="722" spans="1:8" x14ac:dyDescent="0.25">
      <c r="A722" s="1">
        <v>45605</v>
      </c>
      <c r="B722" t="s">
        <v>702</v>
      </c>
      <c r="C722" t="s">
        <v>3</v>
      </c>
      <c r="D722" t="s">
        <v>786</v>
      </c>
      <c r="E722" t="s">
        <v>781</v>
      </c>
      <c r="F722">
        <v>44449</v>
      </c>
      <c r="G722" s="2">
        <f t="shared" si="11"/>
        <v>6667.3499999999995</v>
      </c>
      <c r="H722">
        <v>1</v>
      </c>
    </row>
    <row r="723" spans="1:8" x14ac:dyDescent="0.25">
      <c r="A723" s="1">
        <v>45335</v>
      </c>
      <c r="B723" t="s">
        <v>703</v>
      </c>
      <c r="C723" t="s">
        <v>6</v>
      </c>
      <c r="D723" t="s">
        <v>787</v>
      </c>
      <c r="E723" t="s">
        <v>780</v>
      </c>
      <c r="F723">
        <v>58998</v>
      </c>
      <c r="G723" s="2">
        <f t="shared" si="11"/>
        <v>8849.6999999999989</v>
      </c>
      <c r="H723">
        <v>1</v>
      </c>
    </row>
    <row r="724" spans="1:8" x14ac:dyDescent="0.25">
      <c r="A724" s="1">
        <v>45413</v>
      </c>
      <c r="B724" t="s">
        <v>704</v>
      </c>
      <c r="C724" t="s">
        <v>3</v>
      </c>
      <c r="D724" t="s">
        <v>786</v>
      </c>
      <c r="E724" t="s">
        <v>778</v>
      </c>
      <c r="F724">
        <v>37575</v>
      </c>
      <c r="G724" s="2">
        <f t="shared" si="11"/>
        <v>5636.25</v>
      </c>
      <c r="H724">
        <v>3</v>
      </c>
    </row>
    <row r="725" spans="1:8" x14ac:dyDescent="0.25">
      <c r="A725" s="1">
        <v>45476</v>
      </c>
      <c r="B725" t="s">
        <v>705</v>
      </c>
      <c r="C725" t="s">
        <v>4</v>
      </c>
      <c r="D725" t="s">
        <v>786</v>
      </c>
      <c r="E725" t="s">
        <v>779</v>
      </c>
      <c r="F725">
        <v>35136</v>
      </c>
      <c r="G725" s="2">
        <f t="shared" si="11"/>
        <v>5270.4</v>
      </c>
      <c r="H725">
        <v>4</v>
      </c>
    </row>
    <row r="726" spans="1:8" x14ac:dyDescent="0.25">
      <c r="A726" s="1">
        <v>45516</v>
      </c>
      <c r="B726" t="s">
        <v>706</v>
      </c>
      <c r="C726" t="s">
        <v>8</v>
      </c>
      <c r="D726" t="s">
        <v>788</v>
      </c>
      <c r="E726" t="s">
        <v>781</v>
      </c>
      <c r="F726">
        <v>38251</v>
      </c>
      <c r="G726" s="2">
        <f t="shared" si="11"/>
        <v>5737.65</v>
      </c>
      <c r="H726">
        <v>1</v>
      </c>
    </row>
    <row r="727" spans="1:8" x14ac:dyDescent="0.25">
      <c r="A727" s="1">
        <v>45446</v>
      </c>
      <c r="B727" t="s">
        <v>707</v>
      </c>
      <c r="C727" t="s">
        <v>7</v>
      </c>
      <c r="D727" t="s">
        <v>788</v>
      </c>
      <c r="E727" t="s">
        <v>778</v>
      </c>
      <c r="F727">
        <v>69963</v>
      </c>
      <c r="G727" s="2">
        <f t="shared" si="11"/>
        <v>10494.449999999999</v>
      </c>
      <c r="H727">
        <v>5</v>
      </c>
    </row>
    <row r="728" spans="1:8" x14ac:dyDescent="0.25">
      <c r="A728" s="1">
        <v>45410</v>
      </c>
      <c r="B728" t="s">
        <v>708</v>
      </c>
      <c r="C728" t="s">
        <v>8</v>
      </c>
      <c r="D728" t="s">
        <v>788</v>
      </c>
      <c r="E728" t="s">
        <v>780</v>
      </c>
      <c r="F728">
        <v>12985</v>
      </c>
      <c r="G728" s="2">
        <f t="shared" si="11"/>
        <v>1947.75</v>
      </c>
      <c r="H728">
        <v>1</v>
      </c>
    </row>
    <row r="729" spans="1:8" x14ac:dyDescent="0.25">
      <c r="A729" s="1">
        <v>45298</v>
      </c>
      <c r="B729" t="s">
        <v>110</v>
      </c>
      <c r="C729" t="s">
        <v>6</v>
      </c>
      <c r="D729" t="s">
        <v>787</v>
      </c>
      <c r="E729" t="s">
        <v>778</v>
      </c>
      <c r="F729">
        <v>60347</v>
      </c>
      <c r="G729" s="2">
        <f t="shared" si="11"/>
        <v>9052.0499999999993</v>
      </c>
      <c r="H729">
        <v>1</v>
      </c>
    </row>
    <row r="730" spans="1:8" x14ac:dyDescent="0.25">
      <c r="A730" s="1">
        <v>45302</v>
      </c>
      <c r="B730" t="s">
        <v>709</v>
      </c>
      <c r="C730" t="s">
        <v>7</v>
      </c>
      <c r="D730" t="s">
        <v>788</v>
      </c>
      <c r="E730" t="s">
        <v>779</v>
      </c>
      <c r="F730">
        <v>22388</v>
      </c>
      <c r="G730" s="2">
        <f t="shared" si="11"/>
        <v>3358.2</v>
      </c>
      <c r="H730">
        <v>5</v>
      </c>
    </row>
    <row r="731" spans="1:8" x14ac:dyDescent="0.25">
      <c r="A731" s="1">
        <v>45417</v>
      </c>
      <c r="B731" t="s">
        <v>710</v>
      </c>
      <c r="C731" t="s">
        <v>7</v>
      </c>
      <c r="D731" t="s">
        <v>788</v>
      </c>
      <c r="E731" t="s">
        <v>778</v>
      </c>
      <c r="F731">
        <v>33197</v>
      </c>
      <c r="G731" s="2">
        <f t="shared" si="11"/>
        <v>4979.55</v>
      </c>
      <c r="H731">
        <v>2</v>
      </c>
    </row>
    <row r="732" spans="1:8" x14ac:dyDescent="0.25">
      <c r="A732" s="1">
        <v>45402</v>
      </c>
      <c r="B732" t="s">
        <v>711</v>
      </c>
      <c r="C732" t="s">
        <v>8</v>
      </c>
      <c r="D732" t="s">
        <v>788</v>
      </c>
      <c r="E732" t="s">
        <v>778</v>
      </c>
      <c r="F732">
        <v>21555</v>
      </c>
      <c r="G732" s="2">
        <f t="shared" si="11"/>
        <v>3233.25</v>
      </c>
      <c r="H732">
        <v>4</v>
      </c>
    </row>
    <row r="733" spans="1:8" x14ac:dyDescent="0.25">
      <c r="A733" s="1">
        <v>45419</v>
      </c>
      <c r="B733" t="s">
        <v>712</v>
      </c>
      <c r="C733" t="s">
        <v>4</v>
      </c>
      <c r="D733" t="s">
        <v>786</v>
      </c>
      <c r="E733" t="s">
        <v>778</v>
      </c>
      <c r="F733">
        <v>3082</v>
      </c>
      <c r="G733" s="2">
        <f t="shared" si="11"/>
        <v>462.29999999999995</v>
      </c>
      <c r="H733">
        <v>1</v>
      </c>
    </row>
    <row r="734" spans="1:8" x14ac:dyDescent="0.25">
      <c r="A734" s="1">
        <v>45482</v>
      </c>
      <c r="B734" t="s">
        <v>713</v>
      </c>
      <c r="C734" t="s">
        <v>7</v>
      </c>
      <c r="D734" t="s">
        <v>788</v>
      </c>
      <c r="E734" t="s">
        <v>781</v>
      </c>
      <c r="F734">
        <v>31524</v>
      </c>
      <c r="G734" s="2">
        <f t="shared" si="11"/>
        <v>4728.5999999999995</v>
      </c>
      <c r="H734">
        <v>1</v>
      </c>
    </row>
    <row r="735" spans="1:8" x14ac:dyDescent="0.25">
      <c r="A735" s="1">
        <v>45548</v>
      </c>
      <c r="B735" t="s">
        <v>714</v>
      </c>
      <c r="C735" t="s">
        <v>4</v>
      </c>
      <c r="D735" t="s">
        <v>786</v>
      </c>
      <c r="E735" t="s">
        <v>781</v>
      </c>
      <c r="F735">
        <v>46103</v>
      </c>
      <c r="G735" s="2">
        <f t="shared" si="11"/>
        <v>6915.45</v>
      </c>
      <c r="H735">
        <v>1</v>
      </c>
    </row>
    <row r="736" spans="1:8" x14ac:dyDescent="0.25">
      <c r="A736" s="1">
        <v>45521</v>
      </c>
      <c r="B736" t="s">
        <v>715</v>
      </c>
      <c r="C736" t="s">
        <v>4</v>
      </c>
      <c r="D736" t="s">
        <v>786</v>
      </c>
      <c r="E736" t="s">
        <v>781</v>
      </c>
      <c r="F736">
        <v>10205</v>
      </c>
      <c r="G736" s="2">
        <f t="shared" si="11"/>
        <v>1530.75</v>
      </c>
      <c r="H736">
        <v>4</v>
      </c>
    </row>
    <row r="737" spans="1:8" x14ac:dyDescent="0.25">
      <c r="A737" s="1">
        <v>45505</v>
      </c>
      <c r="B737" t="s">
        <v>716</v>
      </c>
      <c r="C737" t="s">
        <v>3</v>
      </c>
      <c r="D737" t="s">
        <v>786</v>
      </c>
      <c r="E737" t="s">
        <v>778</v>
      </c>
      <c r="F737">
        <v>68863</v>
      </c>
      <c r="G737" s="2">
        <f t="shared" si="11"/>
        <v>10329.449999999999</v>
      </c>
      <c r="H737">
        <v>5</v>
      </c>
    </row>
    <row r="738" spans="1:8" x14ac:dyDescent="0.25">
      <c r="A738" s="1">
        <v>45476</v>
      </c>
      <c r="B738" t="s">
        <v>717</v>
      </c>
      <c r="C738" t="s">
        <v>3</v>
      </c>
      <c r="D738" t="s">
        <v>786</v>
      </c>
      <c r="E738" t="s">
        <v>779</v>
      </c>
      <c r="F738">
        <v>39843</v>
      </c>
      <c r="G738" s="2">
        <f t="shared" si="11"/>
        <v>5976.45</v>
      </c>
      <c r="H738">
        <v>1</v>
      </c>
    </row>
    <row r="739" spans="1:8" x14ac:dyDescent="0.25">
      <c r="A739" s="1">
        <v>45393</v>
      </c>
      <c r="B739" t="s">
        <v>718</v>
      </c>
      <c r="C739" t="s">
        <v>5</v>
      </c>
      <c r="D739" t="s">
        <v>787</v>
      </c>
      <c r="E739" t="s">
        <v>781</v>
      </c>
      <c r="F739">
        <v>27320</v>
      </c>
      <c r="G739" s="2">
        <f t="shared" si="11"/>
        <v>4098</v>
      </c>
      <c r="H739">
        <v>5</v>
      </c>
    </row>
    <row r="740" spans="1:8" x14ac:dyDescent="0.25">
      <c r="A740" s="1">
        <v>45650</v>
      </c>
      <c r="B740" t="s">
        <v>719</v>
      </c>
      <c r="C740" t="s">
        <v>5</v>
      </c>
      <c r="D740" t="s">
        <v>787</v>
      </c>
      <c r="E740" t="s">
        <v>781</v>
      </c>
      <c r="F740">
        <v>23204</v>
      </c>
      <c r="G740" s="2">
        <f t="shared" si="11"/>
        <v>3480.6</v>
      </c>
      <c r="H740">
        <v>3</v>
      </c>
    </row>
    <row r="741" spans="1:8" x14ac:dyDescent="0.25">
      <c r="A741" s="1">
        <v>45584</v>
      </c>
      <c r="B741" t="s">
        <v>720</v>
      </c>
      <c r="C741" t="s">
        <v>5</v>
      </c>
      <c r="D741" t="s">
        <v>787</v>
      </c>
      <c r="E741" t="s">
        <v>778</v>
      </c>
      <c r="F741">
        <v>8101</v>
      </c>
      <c r="G741" s="2">
        <f t="shared" si="11"/>
        <v>1215.1499999999999</v>
      </c>
      <c r="H741">
        <v>1</v>
      </c>
    </row>
    <row r="742" spans="1:8" x14ac:dyDescent="0.25">
      <c r="A742" s="1">
        <v>45629</v>
      </c>
      <c r="B742" t="s">
        <v>721</v>
      </c>
      <c r="C742" t="s">
        <v>3</v>
      </c>
      <c r="D742" t="s">
        <v>786</v>
      </c>
      <c r="E742" t="s">
        <v>780</v>
      </c>
      <c r="F742">
        <v>12013</v>
      </c>
      <c r="G742" s="2">
        <f t="shared" si="11"/>
        <v>1801.95</v>
      </c>
      <c r="H742">
        <v>1</v>
      </c>
    </row>
    <row r="743" spans="1:8" x14ac:dyDescent="0.25">
      <c r="A743" s="1">
        <v>45309</v>
      </c>
      <c r="B743" t="s">
        <v>722</v>
      </c>
      <c r="C743" t="s">
        <v>4</v>
      </c>
      <c r="D743" t="s">
        <v>786</v>
      </c>
      <c r="E743" t="s">
        <v>781</v>
      </c>
      <c r="F743">
        <v>3801</v>
      </c>
      <c r="G743" s="2">
        <f t="shared" si="11"/>
        <v>570.15</v>
      </c>
      <c r="H743">
        <v>1</v>
      </c>
    </row>
    <row r="744" spans="1:8" x14ac:dyDescent="0.25">
      <c r="A744" s="1">
        <v>45410</v>
      </c>
      <c r="B744" t="s">
        <v>723</v>
      </c>
      <c r="C744" t="s">
        <v>3</v>
      </c>
      <c r="D744" t="s">
        <v>786</v>
      </c>
      <c r="E744" t="s">
        <v>780</v>
      </c>
      <c r="F744">
        <v>49263</v>
      </c>
      <c r="G744" s="2">
        <f t="shared" si="11"/>
        <v>7389.45</v>
      </c>
      <c r="H744">
        <v>4</v>
      </c>
    </row>
    <row r="745" spans="1:8" x14ac:dyDescent="0.25">
      <c r="A745" s="1">
        <v>45588</v>
      </c>
      <c r="B745" t="s">
        <v>724</v>
      </c>
      <c r="C745" t="s">
        <v>4</v>
      </c>
      <c r="D745" t="s">
        <v>786</v>
      </c>
      <c r="E745" t="s">
        <v>781</v>
      </c>
      <c r="F745">
        <v>78121</v>
      </c>
      <c r="G745" s="2">
        <f t="shared" si="11"/>
        <v>11718.15</v>
      </c>
      <c r="H745">
        <v>3</v>
      </c>
    </row>
    <row r="746" spans="1:8" x14ac:dyDescent="0.25">
      <c r="A746" s="1">
        <v>45536</v>
      </c>
      <c r="B746" t="s">
        <v>725</v>
      </c>
      <c r="C746" t="s">
        <v>3</v>
      </c>
      <c r="D746" t="s">
        <v>786</v>
      </c>
      <c r="E746" t="s">
        <v>780</v>
      </c>
      <c r="F746">
        <v>31451</v>
      </c>
      <c r="G746" s="2">
        <f t="shared" si="11"/>
        <v>4717.6499999999996</v>
      </c>
      <c r="H746">
        <v>5</v>
      </c>
    </row>
    <row r="747" spans="1:8" x14ac:dyDescent="0.25">
      <c r="A747" s="1">
        <v>45302</v>
      </c>
      <c r="B747" t="s">
        <v>726</v>
      </c>
      <c r="C747" t="s">
        <v>7</v>
      </c>
      <c r="D747" t="s">
        <v>788</v>
      </c>
      <c r="E747" t="s">
        <v>781</v>
      </c>
      <c r="F747">
        <v>17279</v>
      </c>
      <c r="G747" s="2">
        <f t="shared" si="11"/>
        <v>2591.85</v>
      </c>
      <c r="H747">
        <v>2</v>
      </c>
    </row>
    <row r="748" spans="1:8" x14ac:dyDescent="0.25">
      <c r="A748" s="1">
        <v>45475</v>
      </c>
      <c r="B748" t="s">
        <v>727</v>
      </c>
      <c r="C748" t="s">
        <v>7</v>
      </c>
      <c r="D748" t="s">
        <v>788</v>
      </c>
      <c r="E748" t="s">
        <v>781</v>
      </c>
      <c r="F748">
        <v>20861</v>
      </c>
      <c r="G748" s="2">
        <f t="shared" si="11"/>
        <v>3129.15</v>
      </c>
      <c r="H748">
        <v>1</v>
      </c>
    </row>
    <row r="749" spans="1:8" x14ac:dyDescent="0.25">
      <c r="A749" s="1">
        <v>45440</v>
      </c>
      <c r="B749" t="s">
        <v>728</v>
      </c>
      <c r="C749" t="s">
        <v>4</v>
      </c>
      <c r="D749" t="s">
        <v>786</v>
      </c>
      <c r="E749" t="s">
        <v>779</v>
      </c>
      <c r="F749">
        <v>32862</v>
      </c>
      <c r="G749" s="2">
        <f t="shared" si="11"/>
        <v>4929.3</v>
      </c>
      <c r="H749">
        <v>3</v>
      </c>
    </row>
    <row r="750" spans="1:8" x14ac:dyDescent="0.25">
      <c r="A750" s="1">
        <v>45357</v>
      </c>
      <c r="B750" t="s">
        <v>729</v>
      </c>
      <c r="C750" t="s">
        <v>5</v>
      </c>
      <c r="D750" t="s">
        <v>787</v>
      </c>
      <c r="E750" t="s">
        <v>780</v>
      </c>
      <c r="F750">
        <v>76084</v>
      </c>
      <c r="G750" s="2">
        <f t="shared" si="11"/>
        <v>11412.6</v>
      </c>
      <c r="H750">
        <v>1</v>
      </c>
    </row>
    <row r="751" spans="1:8" x14ac:dyDescent="0.25">
      <c r="A751" s="1">
        <v>45623</v>
      </c>
      <c r="B751" t="s">
        <v>730</v>
      </c>
      <c r="C751" t="s">
        <v>3</v>
      </c>
      <c r="D751" t="s">
        <v>786</v>
      </c>
      <c r="E751" t="s">
        <v>778</v>
      </c>
      <c r="F751">
        <v>1130</v>
      </c>
      <c r="G751" s="2">
        <f t="shared" si="11"/>
        <v>169.5</v>
      </c>
      <c r="H751">
        <v>4</v>
      </c>
    </row>
    <row r="752" spans="1:8" x14ac:dyDescent="0.25">
      <c r="A752" s="1">
        <v>45581</v>
      </c>
      <c r="B752" t="s">
        <v>731</v>
      </c>
      <c r="C752" t="s">
        <v>4</v>
      </c>
      <c r="D752" t="s">
        <v>786</v>
      </c>
      <c r="E752" t="s">
        <v>781</v>
      </c>
      <c r="F752">
        <v>39418</v>
      </c>
      <c r="G752" s="2">
        <f t="shared" si="11"/>
        <v>5912.7</v>
      </c>
      <c r="H752">
        <v>5</v>
      </c>
    </row>
    <row r="753" spans="1:8" x14ac:dyDescent="0.25">
      <c r="A753" s="1">
        <v>45311</v>
      </c>
      <c r="B753" t="s">
        <v>732</v>
      </c>
      <c r="C753" t="s">
        <v>4</v>
      </c>
      <c r="D753" t="s">
        <v>786</v>
      </c>
      <c r="E753" t="s">
        <v>779</v>
      </c>
      <c r="F753">
        <v>48267</v>
      </c>
      <c r="G753" s="2">
        <f t="shared" si="11"/>
        <v>7240.05</v>
      </c>
      <c r="H753">
        <v>5</v>
      </c>
    </row>
    <row r="754" spans="1:8" x14ac:dyDescent="0.25">
      <c r="A754" s="1">
        <v>45584</v>
      </c>
      <c r="B754" t="s">
        <v>733</v>
      </c>
      <c r="C754" t="s">
        <v>4</v>
      </c>
      <c r="D754" t="s">
        <v>786</v>
      </c>
      <c r="E754" t="s">
        <v>780</v>
      </c>
      <c r="F754">
        <v>62012</v>
      </c>
      <c r="G754" s="2">
        <f t="shared" si="11"/>
        <v>9301.7999999999993</v>
      </c>
      <c r="H754">
        <v>1</v>
      </c>
    </row>
    <row r="755" spans="1:8" x14ac:dyDescent="0.25">
      <c r="A755" s="1">
        <v>45523</v>
      </c>
      <c r="B755" t="s">
        <v>734</v>
      </c>
      <c r="C755" t="s">
        <v>3</v>
      </c>
      <c r="D755" t="s">
        <v>786</v>
      </c>
      <c r="E755" t="s">
        <v>780</v>
      </c>
      <c r="F755">
        <v>659</v>
      </c>
      <c r="G755" s="2">
        <f t="shared" si="11"/>
        <v>98.85</v>
      </c>
      <c r="H755">
        <v>3</v>
      </c>
    </row>
    <row r="756" spans="1:8" x14ac:dyDescent="0.25">
      <c r="A756" s="1">
        <v>45543</v>
      </c>
      <c r="B756" t="s">
        <v>735</v>
      </c>
      <c r="C756" t="s">
        <v>4</v>
      </c>
      <c r="D756" t="s">
        <v>786</v>
      </c>
      <c r="E756" t="s">
        <v>778</v>
      </c>
      <c r="F756">
        <v>15732</v>
      </c>
      <c r="G756" s="2">
        <f t="shared" si="11"/>
        <v>2359.7999999999997</v>
      </c>
      <c r="H756">
        <v>4</v>
      </c>
    </row>
    <row r="757" spans="1:8" x14ac:dyDescent="0.25">
      <c r="A757" s="1">
        <v>45512</v>
      </c>
      <c r="B757" t="s">
        <v>736</v>
      </c>
      <c r="C757" t="s">
        <v>7</v>
      </c>
      <c r="D757" t="s">
        <v>788</v>
      </c>
      <c r="E757" t="s">
        <v>778</v>
      </c>
      <c r="F757">
        <v>48006</v>
      </c>
      <c r="G757" s="2">
        <f t="shared" si="11"/>
        <v>7200.9</v>
      </c>
      <c r="H757">
        <v>2</v>
      </c>
    </row>
    <row r="758" spans="1:8" x14ac:dyDescent="0.25">
      <c r="A758" s="1">
        <v>45509</v>
      </c>
      <c r="B758" t="s">
        <v>737</v>
      </c>
      <c r="C758" t="s">
        <v>7</v>
      </c>
      <c r="D758" t="s">
        <v>788</v>
      </c>
      <c r="E758" t="s">
        <v>778</v>
      </c>
      <c r="F758">
        <v>79960</v>
      </c>
      <c r="G758" s="2">
        <f t="shared" si="11"/>
        <v>11994</v>
      </c>
      <c r="H758">
        <v>5</v>
      </c>
    </row>
    <row r="759" spans="1:8" x14ac:dyDescent="0.25">
      <c r="A759" s="1">
        <v>45344</v>
      </c>
      <c r="B759" t="s">
        <v>738</v>
      </c>
      <c r="C759" t="s">
        <v>8</v>
      </c>
      <c r="D759" t="s">
        <v>788</v>
      </c>
      <c r="E759" t="s">
        <v>780</v>
      </c>
      <c r="F759">
        <v>60846</v>
      </c>
      <c r="G759" s="2">
        <f t="shared" si="11"/>
        <v>9126.9</v>
      </c>
      <c r="H759">
        <v>1</v>
      </c>
    </row>
    <row r="760" spans="1:8" x14ac:dyDescent="0.25">
      <c r="A760" s="1">
        <v>45361</v>
      </c>
      <c r="B760" t="s">
        <v>739</v>
      </c>
      <c r="C760" t="s">
        <v>3</v>
      </c>
      <c r="D760" t="s">
        <v>786</v>
      </c>
      <c r="E760" t="s">
        <v>780</v>
      </c>
      <c r="F760">
        <v>61701</v>
      </c>
      <c r="G760" s="2">
        <f t="shared" si="11"/>
        <v>9255.15</v>
      </c>
      <c r="H760">
        <v>3</v>
      </c>
    </row>
    <row r="761" spans="1:8" x14ac:dyDescent="0.25">
      <c r="A761" s="1">
        <v>45551</v>
      </c>
      <c r="B761" t="s">
        <v>740</v>
      </c>
      <c r="C761" t="s">
        <v>6</v>
      </c>
      <c r="D761" t="s">
        <v>787</v>
      </c>
      <c r="E761" t="s">
        <v>779</v>
      </c>
      <c r="F761">
        <v>68569</v>
      </c>
      <c r="G761" s="2">
        <f t="shared" si="11"/>
        <v>10285.35</v>
      </c>
      <c r="H761">
        <v>1</v>
      </c>
    </row>
    <row r="762" spans="1:8" x14ac:dyDescent="0.25">
      <c r="A762" s="1">
        <v>45463</v>
      </c>
      <c r="B762" t="s">
        <v>741</v>
      </c>
      <c r="C762" t="s">
        <v>4</v>
      </c>
      <c r="D762" t="s">
        <v>786</v>
      </c>
      <c r="E762" t="s">
        <v>781</v>
      </c>
      <c r="F762">
        <v>37045</v>
      </c>
      <c r="G762" s="2">
        <f t="shared" si="11"/>
        <v>5556.75</v>
      </c>
      <c r="H762">
        <v>1</v>
      </c>
    </row>
    <row r="763" spans="1:8" x14ac:dyDescent="0.25">
      <c r="A763" s="1">
        <v>45395</v>
      </c>
      <c r="B763" t="s">
        <v>742</v>
      </c>
      <c r="C763" t="s">
        <v>8</v>
      </c>
      <c r="D763" t="s">
        <v>788</v>
      </c>
      <c r="E763" t="s">
        <v>779</v>
      </c>
      <c r="F763">
        <v>25177</v>
      </c>
      <c r="G763" s="2">
        <f t="shared" si="11"/>
        <v>3776.5499999999997</v>
      </c>
      <c r="H763">
        <v>1</v>
      </c>
    </row>
    <row r="764" spans="1:8" x14ac:dyDescent="0.25">
      <c r="A764" s="1">
        <v>45353</v>
      </c>
      <c r="B764" t="s">
        <v>371</v>
      </c>
      <c r="C764" t="s">
        <v>4</v>
      </c>
      <c r="D764" t="s">
        <v>786</v>
      </c>
      <c r="E764" t="s">
        <v>781</v>
      </c>
      <c r="F764">
        <v>55511</v>
      </c>
      <c r="G764" s="2">
        <f t="shared" si="11"/>
        <v>8326.65</v>
      </c>
      <c r="H764">
        <v>3</v>
      </c>
    </row>
    <row r="765" spans="1:8" x14ac:dyDescent="0.25">
      <c r="A765" s="1">
        <v>45469</v>
      </c>
      <c r="B765" t="s">
        <v>743</v>
      </c>
      <c r="C765" t="s">
        <v>5</v>
      </c>
      <c r="D765" t="s">
        <v>787</v>
      </c>
      <c r="E765" t="s">
        <v>779</v>
      </c>
      <c r="F765">
        <v>42411</v>
      </c>
      <c r="G765" s="2">
        <f t="shared" si="11"/>
        <v>6361.65</v>
      </c>
      <c r="H765">
        <v>5</v>
      </c>
    </row>
    <row r="766" spans="1:8" x14ac:dyDescent="0.25">
      <c r="A766" s="1">
        <v>45428</v>
      </c>
      <c r="B766" t="s">
        <v>744</v>
      </c>
      <c r="C766" t="s">
        <v>7</v>
      </c>
      <c r="D766" t="s">
        <v>788</v>
      </c>
      <c r="E766" t="s">
        <v>779</v>
      </c>
      <c r="F766">
        <v>26767</v>
      </c>
      <c r="G766" s="2">
        <f t="shared" si="11"/>
        <v>4015.0499999999997</v>
      </c>
      <c r="H766">
        <v>1</v>
      </c>
    </row>
    <row r="767" spans="1:8" x14ac:dyDescent="0.25">
      <c r="A767" s="1">
        <v>45400</v>
      </c>
      <c r="B767" t="s">
        <v>745</v>
      </c>
      <c r="C767" t="s">
        <v>7</v>
      </c>
      <c r="D767" t="s">
        <v>788</v>
      </c>
      <c r="E767" t="s">
        <v>779</v>
      </c>
      <c r="F767">
        <v>12341</v>
      </c>
      <c r="G767" s="2">
        <f t="shared" si="11"/>
        <v>1851.1499999999999</v>
      </c>
      <c r="H767">
        <v>4</v>
      </c>
    </row>
    <row r="768" spans="1:8" x14ac:dyDescent="0.25">
      <c r="A768" s="1">
        <v>45329</v>
      </c>
      <c r="B768" t="s">
        <v>746</v>
      </c>
      <c r="C768" t="s">
        <v>3</v>
      </c>
      <c r="D768" t="s">
        <v>786</v>
      </c>
      <c r="E768" t="s">
        <v>780</v>
      </c>
      <c r="F768">
        <v>16813</v>
      </c>
      <c r="G768" s="2">
        <f t="shared" si="11"/>
        <v>2521.9499999999998</v>
      </c>
      <c r="H768">
        <v>4</v>
      </c>
    </row>
    <row r="769" spans="1:8" x14ac:dyDescent="0.25">
      <c r="A769" s="1">
        <v>45639</v>
      </c>
      <c r="B769" t="s">
        <v>38</v>
      </c>
      <c r="C769" t="s">
        <v>4</v>
      </c>
      <c r="D769" t="s">
        <v>786</v>
      </c>
      <c r="E769" t="s">
        <v>781</v>
      </c>
      <c r="F769">
        <v>30503</v>
      </c>
      <c r="G769" s="2">
        <f t="shared" si="11"/>
        <v>4575.45</v>
      </c>
      <c r="H769">
        <v>3</v>
      </c>
    </row>
    <row r="770" spans="1:8" x14ac:dyDescent="0.25">
      <c r="A770" s="1">
        <v>45439</v>
      </c>
      <c r="B770" t="s">
        <v>747</v>
      </c>
      <c r="C770" t="s">
        <v>8</v>
      </c>
      <c r="D770" t="s">
        <v>788</v>
      </c>
      <c r="E770" t="s">
        <v>778</v>
      </c>
      <c r="F770">
        <v>48449</v>
      </c>
      <c r="G770" s="2">
        <f t="shared" si="11"/>
        <v>7267.3499999999995</v>
      </c>
      <c r="H770">
        <v>5</v>
      </c>
    </row>
    <row r="771" spans="1:8" x14ac:dyDescent="0.25">
      <c r="A771" s="1">
        <v>45292</v>
      </c>
      <c r="B771" t="s">
        <v>748</v>
      </c>
      <c r="C771" t="s">
        <v>3</v>
      </c>
      <c r="D771" t="s">
        <v>786</v>
      </c>
      <c r="E771" t="s">
        <v>781</v>
      </c>
      <c r="F771">
        <v>29048</v>
      </c>
      <c r="G771" s="2">
        <f t="shared" ref="G771:G800" si="12">F771*0.15</f>
        <v>4357.2</v>
      </c>
      <c r="H771">
        <v>3</v>
      </c>
    </row>
    <row r="772" spans="1:8" x14ac:dyDescent="0.25">
      <c r="A772" s="1">
        <v>45312</v>
      </c>
      <c r="B772" t="s">
        <v>749</v>
      </c>
      <c r="C772" t="s">
        <v>4</v>
      </c>
      <c r="D772" t="s">
        <v>786</v>
      </c>
      <c r="E772" t="s">
        <v>779</v>
      </c>
      <c r="F772">
        <v>41288</v>
      </c>
      <c r="G772" s="2">
        <f t="shared" si="12"/>
        <v>6193.2</v>
      </c>
      <c r="H772">
        <v>5</v>
      </c>
    </row>
    <row r="773" spans="1:8" x14ac:dyDescent="0.25">
      <c r="A773" s="1">
        <v>45394</v>
      </c>
      <c r="B773" t="s">
        <v>750</v>
      </c>
      <c r="C773" t="s">
        <v>8</v>
      </c>
      <c r="D773" t="s">
        <v>788</v>
      </c>
      <c r="E773" t="s">
        <v>781</v>
      </c>
      <c r="F773">
        <v>6085</v>
      </c>
      <c r="G773" s="2">
        <f t="shared" si="12"/>
        <v>912.75</v>
      </c>
      <c r="H773">
        <v>2</v>
      </c>
    </row>
    <row r="774" spans="1:8" x14ac:dyDescent="0.25">
      <c r="A774" s="1">
        <v>45395</v>
      </c>
      <c r="B774" t="s">
        <v>751</v>
      </c>
      <c r="C774" t="s">
        <v>7</v>
      </c>
      <c r="D774" t="s">
        <v>788</v>
      </c>
      <c r="E774" t="s">
        <v>778</v>
      </c>
      <c r="F774">
        <v>6518</v>
      </c>
      <c r="G774" s="2">
        <f t="shared" si="12"/>
        <v>977.69999999999993</v>
      </c>
      <c r="H774">
        <v>5</v>
      </c>
    </row>
    <row r="775" spans="1:8" x14ac:dyDescent="0.25">
      <c r="A775" s="1">
        <v>45537</v>
      </c>
      <c r="B775" t="s">
        <v>752</v>
      </c>
      <c r="C775" t="s">
        <v>3</v>
      </c>
      <c r="D775" t="s">
        <v>786</v>
      </c>
      <c r="E775" t="s">
        <v>779</v>
      </c>
      <c r="F775">
        <v>38373</v>
      </c>
      <c r="G775" s="2">
        <f t="shared" si="12"/>
        <v>5755.95</v>
      </c>
      <c r="H775">
        <v>1</v>
      </c>
    </row>
    <row r="776" spans="1:8" x14ac:dyDescent="0.25">
      <c r="A776" s="1">
        <v>45515</v>
      </c>
      <c r="B776" t="s">
        <v>753</v>
      </c>
      <c r="C776" t="s">
        <v>3</v>
      </c>
      <c r="D776" t="s">
        <v>786</v>
      </c>
      <c r="E776" t="s">
        <v>778</v>
      </c>
      <c r="F776">
        <v>27439</v>
      </c>
      <c r="G776" s="2">
        <f t="shared" si="12"/>
        <v>4115.8499999999995</v>
      </c>
      <c r="H776">
        <v>5</v>
      </c>
    </row>
    <row r="777" spans="1:8" x14ac:dyDescent="0.25">
      <c r="A777" s="1">
        <v>45349</v>
      </c>
      <c r="B777" t="s">
        <v>47</v>
      </c>
      <c r="C777" t="s">
        <v>4</v>
      </c>
      <c r="D777" t="s">
        <v>786</v>
      </c>
      <c r="E777" t="s">
        <v>779</v>
      </c>
      <c r="F777">
        <v>31512</v>
      </c>
      <c r="G777" s="2">
        <f t="shared" si="12"/>
        <v>4726.8</v>
      </c>
      <c r="H777">
        <v>4</v>
      </c>
    </row>
    <row r="778" spans="1:8" x14ac:dyDescent="0.25">
      <c r="A778" s="1">
        <v>45337</v>
      </c>
      <c r="B778" t="s">
        <v>754</v>
      </c>
      <c r="C778" t="s">
        <v>3</v>
      </c>
      <c r="D778" t="s">
        <v>786</v>
      </c>
      <c r="E778" t="s">
        <v>778</v>
      </c>
      <c r="F778">
        <v>5178</v>
      </c>
      <c r="G778" s="2">
        <f t="shared" si="12"/>
        <v>776.69999999999993</v>
      </c>
      <c r="H778">
        <v>3</v>
      </c>
    </row>
    <row r="779" spans="1:8" x14ac:dyDescent="0.25">
      <c r="A779" s="1">
        <v>45360</v>
      </c>
      <c r="B779" t="s">
        <v>755</v>
      </c>
      <c r="C779" t="s">
        <v>8</v>
      </c>
      <c r="D779" t="s">
        <v>788</v>
      </c>
      <c r="E779" t="s">
        <v>778</v>
      </c>
      <c r="F779">
        <v>21465</v>
      </c>
      <c r="G779" s="2">
        <f t="shared" si="12"/>
        <v>3219.75</v>
      </c>
      <c r="H779">
        <v>1</v>
      </c>
    </row>
    <row r="780" spans="1:8" x14ac:dyDescent="0.25">
      <c r="A780" s="1">
        <v>45403</v>
      </c>
      <c r="B780" t="s">
        <v>756</v>
      </c>
      <c r="C780" t="s">
        <v>8</v>
      </c>
      <c r="D780" t="s">
        <v>788</v>
      </c>
      <c r="E780" t="s">
        <v>781</v>
      </c>
      <c r="F780">
        <v>73981</v>
      </c>
      <c r="G780" s="2">
        <f t="shared" si="12"/>
        <v>11097.15</v>
      </c>
      <c r="H780">
        <v>3</v>
      </c>
    </row>
    <row r="781" spans="1:8" x14ac:dyDescent="0.25">
      <c r="A781" s="1">
        <v>45543</v>
      </c>
      <c r="B781" t="s">
        <v>757</v>
      </c>
      <c r="C781" t="s">
        <v>5</v>
      </c>
      <c r="D781" t="s">
        <v>787</v>
      </c>
      <c r="E781" t="s">
        <v>779</v>
      </c>
      <c r="F781">
        <v>78496</v>
      </c>
      <c r="G781" s="2">
        <f t="shared" si="12"/>
        <v>11774.4</v>
      </c>
      <c r="H781">
        <v>1</v>
      </c>
    </row>
    <row r="782" spans="1:8" x14ac:dyDescent="0.25">
      <c r="A782" s="1">
        <v>45606</v>
      </c>
      <c r="B782" t="s">
        <v>758</v>
      </c>
      <c r="C782" t="s">
        <v>7</v>
      </c>
      <c r="D782" t="s">
        <v>788</v>
      </c>
      <c r="E782" t="s">
        <v>781</v>
      </c>
      <c r="F782">
        <v>77244</v>
      </c>
      <c r="G782" s="2">
        <f t="shared" si="12"/>
        <v>11586.6</v>
      </c>
      <c r="H782">
        <v>3</v>
      </c>
    </row>
    <row r="783" spans="1:8" x14ac:dyDescent="0.25">
      <c r="A783" s="1">
        <v>45497</v>
      </c>
      <c r="B783" t="s">
        <v>759</v>
      </c>
      <c r="C783" t="s">
        <v>4</v>
      </c>
      <c r="D783" t="s">
        <v>786</v>
      </c>
      <c r="E783" t="s">
        <v>780</v>
      </c>
      <c r="F783">
        <v>68495</v>
      </c>
      <c r="G783" s="2">
        <f t="shared" si="12"/>
        <v>10274.25</v>
      </c>
      <c r="H783">
        <v>2</v>
      </c>
    </row>
    <row r="784" spans="1:8" x14ac:dyDescent="0.25">
      <c r="A784" s="1">
        <v>45299</v>
      </c>
      <c r="B784" t="s">
        <v>760</v>
      </c>
      <c r="C784" t="s">
        <v>6</v>
      </c>
      <c r="D784" t="s">
        <v>787</v>
      </c>
      <c r="E784" t="s">
        <v>779</v>
      </c>
      <c r="F784">
        <v>32950</v>
      </c>
      <c r="G784" s="2">
        <f t="shared" si="12"/>
        <v>4942.5</v>
      </c>
      <c r="H784">
        <v>1</v>
      </c>
    </row>
    <row r="785" spans="1:8" x14ac:dyDescent="0.25">
      <c r="A785" s="1">
        <v>45385</v>
      </c>
      <c r="B785" t="s">
        <v>761</v>
      </c>
      <c r="C785" t="s">
        <v>6</v>
      </c>
      <c r="D785" t="s">
        <v>787</v>
      </c>
      <c r="E785" t="s">
        <v>781</v>
      </c>
      <c r="F785">
        <v>24236</v>
      </c>
      <c r="G785" s="2">
        <f t="shared" si="12"/>
        <v>3635.4</v>
      </c>
      <c r="H785">
        <v>4</v>
      </c>
    </row>
    <row r="786" spans="1:8" x14ac:dyDescent="0.25">
      <c r="A786" s="1">
        <v>45536</v>
      </c>
      <c r="B786" t="s">
        <v>762</v>
      </c>
      <c r="C786" t="s">
        <v>4</v>
      </c>
      <c r="D786" t="s">
        <v>786</v>
      </c>
      <c r="E786" t="s">
        <v>781</v>
      </c>
      <c r="F786">
        <v>49070</v>
      </c>
      <c r="G786" s="2">
        <f t="shared" si="12"/>
        <v>7360.5</v>
      </c>
      <c r="H786">
        <v>4</v>
      </c>
    </row>
    <row r="787" spans="1:8" x14ac:dyDescent="0.25">
      <c r="A787" s="1">
        <v>45452</v>
      </c>
      <c r="B787" t="s">
        <v>763</v>
      </c>
      <c r="C787" t="s">
        <v>7</v>
      </c>
      <c r="D787" t="s">
        <v>788</v>
      </c>
      <c r="E787" t="s">
        <v>780</v>
      </c>
      <c r="F787">
        <v>20209</v>
      </c>
      <c r="G787" s="2">
        <f t="shared" si="12"/>
        <v>3031.35</v>
      </c>
      <c r="H787">
        <v>3</v>
      </c>
    </row>
    <row r="788" spans="1:8" x14ac:dyDescent="0.25">
      <c r="A788" s="1">
        <v>45338</v>
      </c>
      <c r="B788" t="s">
        <v>764</v>
      </c>
      <c r="C788" t="s">
        <v>5</v>
      </c>
      <c r="D788" t="s">
        <v>787</v>
      </c>
      <c r="E788" t="s">
        <v>778</v>
      </c>
      <c r="F788">
        <v>7509</v>
      </c>
      <c r="G788" s="2">
        <f t="shared" si="12"/>
        <v>1126.3499999999999</v>
      </c>
      <c r="H788">
        <v>3</v>
      </c>
    </row>
    <row r="789" spans="1:8" x14ac:dyDescent="0.25">
      <c r="A789" s="1">
        <v>45463</v>
      </c>
      <c r="B789" t="s">
        <v>765</v>
      </c>
      <c r="C789" t="s">
        <v>7</v>
      </c>
      <c r="D789" t="s">
        <v>788</v>
      </c>
      <c r="E789" t="s">
        <v>780</v>
      </c>
      <c r="F789">
        <v>31124</v>
      </c>
      <c r="G789" s="2">
        <f t="shared" si="12"/>
        <v>4668.5999999999995</v>
      </c>
      <c r="H789">
        <v>1</v>
      </c>
    </row>
    <row r="790" spans="1:8" x14ac:dyDescent="0.25">
      <c r="A790" s="1">
        <v>45493</v>
      </c>
      <c r="B790" t="s">
        <v>766</v>
      </c>
      <c r="C790" t="s">
        <v>4</v>
      </c>
      <c r="D790" t="s">
        <v>786</v>
      </c>
      <c r="E790" t="s">
        <v>779</v>
      </c>
      <c r="F790">
        <v>37817</v>
      </c>
      <c r="G790" s="2">
        <f t="shared" si="12"/>
        <v>5672.55</v>
      </c>
      <c r="H790">
        <v>5</v>
      </c>
    </row>
    <row r="791" spans="1:8" x14ac:dyDescent="0.25">
      <c r="A791" s="1">
        <v>45536</v>
      </c>
      <c r="B791" t="s">
        <v>767</v>
      </c>
      <c r="C791" t="s">
        <v>5</v>
      </c>
      <c r="D791" t="s">
        <v>787</v>
      </c>
      <c r="E791" t="s">
        <v>781</v>
      </c>
      <c r="F791">
        <v>20762</v>
      </c>
      <c r="G791" s="2">
        <f t="shared" si="12"/>
        <v>3114.2999999999997</v>
      </c>
      <c r="H791">
        <v>3</v>
      </c>
    </row>
    <row r="792" spans="1:8" x14ac:dyDescent="0.25">
      <c r="A792" s="1">
        <v>45314</v>
      </c>
      <c r="B792" t="s">
        <v>768</v>
      </c>
      <c r="C792" t="s">
        <v>6</v>
      </c>
      <c r="D792" t="s">
        <v>787</v>
      </c>
      <c r="E792" t="s">
        <v>778</v>
      </c>
      <c r="F792">
        <v>2626</v>
      </c>
      <c r="G792" s="2">
        <f t="shared" si="12"/>
        <v>393.9</v>
      </c>
      <c r="H792">
        <v>1</v>
      </c>
    </row>
    <row r="793" spans="1:8" x14ac:dyDescent="0.25">
      <c r="A793" s="1">
        <v>45365</v>
      </c>
      <c r="B793" t="s">
        <v>769</v>
      </c>
      <c r="C793" t="s">
        <v>7</v>
      </c>
      <c r="D793" t="s">
        <v>788</v>
      </c>
      <c r="E793" t="s">
        <v>780</v>
      </c>
      <c r="F793">
        <v>13914</v>
      </c>
      <c r="G793" s="2">
        <f t="shared" si="12"/>
        <v>2087.1</v>
      </c>
      <c r="H793">
        <v>4</v>
      </c>
    </row>
    <row r="794" spans="1:8" x14ac:dyDescent="0.25">
      <c r="A794" s="1">
        <v>45510</v>
      </c>
      <c r="B794" t="s">
        <v>770</v>
      </c>
      <c r="C794" t="s">
        <v>6</v>
      </c>
      <c r="D794" t="s">
        <v>787</v>
      </c>
      <c r="E794" t="s">
        <v>779</v>
      </c>
      <c r="F794">
        <v>51992</v>
      </c>
      <c r="G794" s="2">
        <f t="shared" si="12"/>
        <v>7798.7999999999993</v>
      </c>
      <c r="H794">
        <v>4</v>
      </c>
    </row>
    <row r="795" spans="1:8" x14ac:dyDescent="0.25">
      <c r="A795" s="1">
        <v>45525</v>
      </c>
      <c r="B795" t="s">
        <v>771</v>
      </c>
      <c r="C795" t="s">
        <v>8</v>
      </c>
      <c r="D795" t="s">
        <v>788</v>
      </c>
      <c r="E795" t="s">
        <v>781</v>
      </c>
      <c r="F795">
        <v>77833</v>
      </c>
      <c r="G795" s="2">
        <f t="shared" si="12"/>
        <v>11674.949999999999</v>
      </c>
      <c r="H795">
        <v>1</v>
      </c>
    </row>
    <row r="796" spans="1:8" x14ac:dyDescent="0.25">
      <c r="A796" s="1">
        <v>45479</v>
      </c>
      <c r="B796" t="s">
        <v>772</v>
      </c>
      <c r="C796" t="s">
        <v>4</v>
      </c>
      <c r="D796" t="s">
        <v>786</v>
      </c>
      <c r="E796" t="s">
        <v>781</v>
      </c>
      <c r="F796">
        <v>1955</v>
      </c>
      <c r="G796" s="2">
        <f t="shared" si="12"/>
        <v>293.25</v>
      </c>
      <c r="H796">
        <v>5</v>
      </c>
    </row>
    <row r="797" spans="1:8" x14ac:dyDescent="0.25">
      <c r="A797" s="1">
        <v>45488</v>
      </c>
      <c r="B797" t="s">
        <v>773</v>
      </c>
      <c r="C797" t="s">
        <v>7</v>
      </c>
      <c r="D797" t="s">
        <v>788</v>
      </c>
      <c r="E797" t="s">
        <v>779</v>
      </c>
      <c r="F797">
        <v>77553</v>
      </c>
      <c r="G797" s="2">
        <f t="shared" si="12"/>
        <v>11632.949999999999</v>
      </c>
      <c r="H797">
        <v>2</v>
      </c>
    </row>
    <row r="798" spans="1:8" x14ac:dyDescent="0.25">
      <c r="A798" s="1">
        <v>45308</v>
      </c>
      <c r="B798" t="s">
        <v>774</v>
      </c>
      <c r="C798" t="s">
        <v>4</v>
      </c>
      <c r="D798" t="s">
        <v>786</v>
      </c>
      <c r="E798" t="s">
        <v>781</v>
      </c>
      <c r="F798">
        <v>33583</v>
      </c>
      <c r="G798" s="2">
        <f t="shared" si="12"/>
        <v>5037.45</v>
      </c>
      <c r="H798">
        <v>5</v>
      </c>
    </row>
    <row r="799" spans="1:8" x14ac:dyDescent="0.25">
      <c r="A799" s="1">
        <v>45332</v>
      </c>
      <c r="B799" t="s">
        <v>775</v>
      </c>
      <c r="C799" t="s">
        <v>5</v>
      </c>
      <c r="D799" t="s">
        <v>787</v>
      </c>
      <c r="E799" t="s">
        <v>778</v>
      </c>
      <c r="F799">
        <v>35973</v>
      </c>
      <c r="G799" s="2">
        <f t="shared" si="12"/>
        <v>5395.95</v>
      </c>
      <c r="H799">
        <v>5</v>
      </c>
    </row>
    <row r="800" spans="1:8" x14ac:dyDescent="0.25">
      <c r="A800" s="1">
        <v>45493</v>
      </c>
      <c r="B800" t="s">
        <v>776</v>
      </c>
      <c r="C800" t="s">
        <v>4</v>
      </c>
      <c r="D800" t="s">
        <v>786</v>
      </c>
      <c r="E800" t="s">
        <v>780</v>
      </c>
      <c r="F800">
        <v>35041</v>
      </c>
      <c r="G800" s="2">
        <f t="shared" si="12"/>
        <v>5256.15</v>
      </c>
      <c r="H800">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8FD2-F9EF-4985-B885-0DC60927D65E}">
  <dimension ref="A3:K16"/>
  <sheetViews>
    <sheetView zoomScale="98" zoomScaleNormal="98" workbookViewId="0">
      <selection activeCell="D27" sqref="D27"/>
    </sheetView>
  </sheetViews>
  <sheetFormatPr defaultRowHeight="15" x14ac:dyDescent="0.25"/>
  <cols>
    <col min="1" max="1" width="13.140625" bestFit="1" customWidth="1"/>
    <col min="2" max="2" width="12.140625" bestFit="1" customWidth="1"/>
    <col min="4" max="4" width="13.140625" bestFit="1" customWidth="1"/>
    <col min="5" max="5" width="18" bestFit="1" customWidth="1"/>
    <col min="6" max="6" width="12.140625" bestFit="1" customWidth="1"/>
    <col min="7" max="7" width="13.140625" bestFit="1" customWidth="1"/>
    <col min="8" max="8" width="14.140625" bestFit="1" customWidth="1"/>
    <col min="9" max="9" width="16.28515625" bestFit="1" customWidth="1"/>
    <col min="10" max="10" width="13.140625" bestFit="1" customWidth="1"/>
    <col min="11" max="11" width="12.7109375" bestFit="1" customWidth="1"/>
    <col min="12" max="15" width="16.28515625" bestFit="1" customWidth="1"/>
    <col min="16" max="16" width="11.28515625" bestFit="1" customWidth="1"/>
    <col min="17" max="310" width="16.28515625" bestFit="1" customWidth="1"/>
    <col min="311" max="311" width="11.28515625" bestFit="1" customWidth="1"/>
  </cols>
  <sheetData>
    <row r="3" spans="1:11" x14ac:dyDescent="0.25">
      <c r="A3" s="3" t="s">
        <v>789</v>
      </c>
      <c r="B3" t="s">
        <v>791</v>
      </c>
      <c r="D3" s="3" t="s">
        <v>789</v>
      </c>
      <c r="E3" t="s">
        <v>791</v>
      </c>
      <c r="G3" s="3" t="s">
        <v>789</v>
      </c>
      <c r="H3" t="s">
        <v>804</v>
      </c>
      <c r="J3" s="3" t="s">
        <v>789</v>
      </c>
      <c r="K3" t="s">
        <v>805</v>
      </c>
    </row>
    <row r="4" spans="1:11" x14ac:dyDescent="0.25">
      <c r="A4" s="4" t="s">
        <v>780</v>
      </c>
      <c r="B4">
        <v>7617690</v>
      </c>
      <c r="C4" s="4"/>
      <c r="D4" s="4" t="s">
        <v>792</v>
      </c>
      <c r="E4">
        <v>2626738</v>
      </c>
      <c r="G4" s="4" t="s">
        <v>5</v>
      </c>
      <c r="H4">
        <v>4693792</v>
      </c>
      <c r="J4" s="4" t="s">
        <v>788</v>
      </c>
      <c r="K4" s="2">
        <v>1599359.5500000012</v>
      </c>
    </row>
    <row r="5" spans="1:11" x14ac:dyDescent="0.25">
      <c r="A5" s="4" t="s">
        <v>778</v>
      </c>
      <c r="B5">
        <v>8411050</v>
      </c>
      <c r="C5" s="4"/>
      <c r="D5" s="4" t="s">
        <v>793</v>
      </c>
      <c r="E5">
        <v>2458324</v>
      </c>
      <c r="G5" s="4" t="s">
        <v>3</v>
      </c>
      <c r="H5">
        <v>4878159</v>
      </c>
      <c r="J5" s="4" t="s">
        <v>786</v>
      </c>
      <c r="K5" s="2">
        <v>1541890.3499999996</v>
      </c>
    </row>
    <row r="6" spans="1:11" x14ac:dyDescent="0.25">
      <c r="A6" s="4" t="s">
        <v>779</v>
      </c>
      <c r="B6">
        <v>7543677</v>
      </c>
      <c r="C6" s="4"/>
      <c r="D6" s="4" t="s">
        <v>794</v>
      </c>
      <c r="E6">
        <v>2230518</v>
      </c>
      <c r="G6" s="4" t="s">
        <v>4</v>
      </c>
      <c r="H6">
        <v>5401110</v>
      </c>
      <c r="J6" s="4" t="s">
        <v>787</v>
      </c>
      <c r="K6" s="2">
        <v>1566099.5999999994</v>
      </c>
    </row>
    <row r="7" spans="1:11" x14ac:dyDescent="0.25">
      <c r="A7" s="4" t="s">
        <v>781</v>
      </c>
      <c r="B7">
        <v>7809913</v>
      </c>
      <c r="C7" s="4"/>
      <c r="D7" s="4" t="s">
        <v>795</v>
      </c>
      <c r="E7">
        <v>2589702</v>
      </c>
      <c r="G7" s="4" t="s">
        <v>7</v>
      </c>
      <c r="H7">
        <v>5366660</v>
      </c>
      <c r="J7" s="4" t="s">
        <v>790</v>
      </c>
      <c r="K7" s="2">
        <v>4707349.5</v>
      </c>
    </row>
    <row r="8" spans="1:11" x14ac:dyDescent="0.25">
      <c r="A8" s="4" t="s">
        <v>790</v>
      </c>
      <c r="B8">
        <v>31382330</v>
      </c>
      <c r="C8" s="4"/>
      <c r="D8" s="4" t="s">
        <v>796</v>
      </c>
      <c r="E8">
        <v>2560013</v>
      </c>
      <c r="G8" s="4" t="s">
        <v>8</v>
      </c>
      <c r="H8">
        <v>5295737</v>
      </c>
    </row>
    <row r="9" spans="1:11" x14ac:dyDescent="0.25">
      <c r="D9" s="4" t="s">
        <v>797</v>
      </c>
      <c r="E9">
        <v>2702466</v>
      </c>
      <c r="G9" s="4" t="s">
        <v>6</v>
      </c>
      <c r="H9">
        <v>5746872</v>
      </c>
    </row>
    <row r="10" spans="1:11" x14ac:dyDescent="0.25">
      <c r="D10" s="4" t="s">
        <v>798</v>
      </c>
      <c r="E10">
        <v>2545359</v>
      </c>
      <c r="G10" s="4" t="s">
        <v>790</v>
      </c>
      <c r="H10">
        <v>31382330</v>
      </c>
    </row>
    <row r="11" spans="1:11" x14ac:dyDescent="0.25">
      <c r="D11" s="4" t="s">
        <v>799</v>
      </c>
      <c r="E11">
        <v>3176363</v>
      </c>
    </row>
    <row r="12" spans="1:11" x14ac:dyDescent="0.25">
      <c r="D12" s="4" t="s">
        <v>800</v>
      </c>
      <c r="E12">
        <v>2945165</v>
      </c>
    </row>
    <row r="13" spans="1:11" x14ac:dyDescent="0.25">
      <c r="D13" s="4" t="s">
        <v>801</v>
      </c>
      <c r="E13">
        <v>2300256</v>
      </c>
    </row>
    <row r="14" spans="1:11" x14ac:dyDescent="0.25">
      <c r="D14" s="4" t="s">
        <v>802</v>
      </c>
      <c r="E14">
        <v>2614073</v>
      </c>
    </row>
    <row r="15" spans="1:11" x14ac:dyDescent="0.25">
      <c r="D15" s="4" t="s">
        <v>803</v>
      </c>
      <c r="E15">
        <v>2633353</v>
      </c>
    </row>
    <row r="16" spans="1:11" x14ac:dyDescent="0.25">
      <c r="D16" s="4" t="s">
        <v>790</v>
      </c>
      <c r="E16">
        <v>31382330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52EA8-2966-4AC3-8FB4-5C72383CA1E2}">
  <dimension ref="A1:Q56"/>
  <sheetViews>
    <sheetView tabSelected="1" zoomScaleNormal="100" zoomScaleSheetLayoutView="93" workbookViewId="0">
      <selection activeCell="J2" sqref="J2"/>
    </sheetView>
  </sheetViews>
  <sheetFormatPr defaultRowHeight="15" x14ac:dyDescent="0.25"/>
  <cols>
    <col min="1" max="2" width="24.5703125" style="8" bestFit="1" customWidth="1"/>
    <col min="3" max="3" width="27.85546875" style="8" bestFit="1" customWidth="1"/>
    <col min="4" max="4" width="24.7109375" style="8" bestFit="1" customWidth="1"/>
    <col min="5" max="5" width="9.140625" style="8"/>
    <col min="6" max="6" width="27.85546875" style="8" bestFit="1" customWidth="1"/>
    <col min="7" max="8" width="9.140625" style="8"/>
    <col min="9" max="9" width="24.5703125" style="8" bestFit="1" customWidth="1"/>
    <col min="10" max="16384" width="9.140625" style="8"/>
  </cols>
  <sheetData>
    <row r="1" spans="1:17" ht="28.5" x14ac:dyDescent="0.45">
      <c r="A1" s="5" t="s">
        <v>806</v>
      </c>
      <c r="B1" s="5" t="s">
        <v>807</v>
      </c>
      <c r="C1" s="5" t="s">
        <v>808</v>
      </c>
      <c r="D1" s="6"/>
      <c r="E1" s="7"/>
      <c r="G1" s="5"/>
      <c r="H1" s="9"/>
      <c r="I1" s="9"/>
      <c r="J1" s="5"/>
      <c r="K1" s="10"/>
      <c r="L1" s="11"/>
      <c r="M1" s="12"/>
      <c r="N1" s="11"/>
      <c r="O1" s="12"/>
      <c r="P1" s="11"/>
      <c r="Q1" s="12"/>
    </row>
    <row r="2" spans="1:17" ht="28.5" x14ac:dyDescent="0.45">
      <c r="A2" s="13">
        <f>SUM(Data!F:F)</f>
        <v>31382330</v>
      </c>
      <c r="B2" s="14">
        <f>SUM(Data!G:G)</f>
        <v>4707349.5000000037</v>
      </c>
      <c r="C2" s="15">
        <f>COUNTA(Data!B:B)</f>
        <v>800</v>
      </c>
      <c r="D2" s="6"/>
      <c r="E2" s="7"/>
      <c r="G2" s="5"/>
      <c r="H2" s="9"/>
      <c r="I2" s="15"/>
      <c r="J2" s="5"/>
      <c r="K2" s="10"/>
      <c r="L2" s="12"/>
      <c r="M2" s="12"/>
      <c r="N2" s="12"/>
      <c r="O2" s="12"/>
      <c r="P2" s="12"/>
      <c r="Q2" s="12"/>
    </row>
    <row r="3" spans="1:17" ht="46.5" x14ac:dyDescent="0.7">
      <c r="B3" s="16"/>
      <c r="C3" s="16"/>
      <c r="D3" s="16"/>
      <c r="E3" s="16"/>
      <c r="F3" s="16"/>
      <c r="G3" s="16"/>
      <c r="H3" s="16"/>
      <c r="I3" s="16"/>
    </row>
    <row r="15" spans="1:17" ht="15" customHeight="1" x14ac:dyDescent="0.25"/>
    <row r="27" s="8" customFormat="1" ht="16.5" customHeight="1" x14ac:dyDescent="0.25"/>
    <row r="56" spans="15:15" x14ac:dyDescent="0.25">
      <c r="O56" s="17"/>
    </row>
  </sheetData>
  <pageMargins left="0.7" right="0.7" top="0.75" bottom="0.75" header="0.3" footer="0.3"/>
  <pageSetup orientation="portrait" r:id="rId1"/>
  <ignoredErrors>
    <ignoredError sqref="A2:C2" emptyCellReference="1"/>
  </ignoredError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Saroj sharma</dc:creator>
  <cp:lastModifiedBy>Saroj sharma</cp:lastModifiedBy>
  <dcterms:created xsi:type="dcterms:W3CDTF">2026-03-18T13:27:16Z</dcterms:created>
  <dcterms:modified xsi:type="dcterms:W3CDTF">2026-04-27T06:20:41Z</dcterms:modified>
</cp:coreProperties>
</file>